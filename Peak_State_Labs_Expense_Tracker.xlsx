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nthly Expenses" sheetId="2" state="visible" r:id="rId2"/>
    <sheet xmlns:r="http://schemas.openxmlformats.org/officeDocument/2006/relationships" name="Categories" sheetId="3" state="visible" r:id="rId3"/>
  </sheets>
  <definedNames>
    <definedName name="ExpenseCategories">Categories!$A$2:$A$6</definedName>
    <definedName name="_xlnm.Print_Area" localSheetId="0">'Dashboard'!$A$1:$O$41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&quot;          &quot;$#,##0"/>
    <numFmt numFmtId="166" formatCode="$#,##0.00;($#,##0.00);&quot;&quot;"/>
    <numFmt numFmtId="167" formatCode="▲ 0.0%;▼ 0.0%;&quot;&quot;"/>
    <numFmt numFmtId="168" formatCode="$#,##0"/>
    <numFmt numFmtId="169" formatCode="&quot;Category total  &quot;$#,##0"/>
    <numFmt numFmtId="170" formatCode="0.0%"/>
  </numFmts>
  <fonts count="43">
    <font>
      <name val="Calibri"/>
      <family val="2"/>
      <color theme="1"/>
      <sz val="11"/>
      <scheme val="minor"/>
    </font>
    <font>
      <name val="Arial"/>
      <b val="1"/>
      <color rgb="00155090"/>
      <sz val="16"/>
    </font>
    <font>
      <name val="Arial"/>
      <b val="1"/>
      <color rgb="006B7280"/>
      <sz val="9"/>
    </font>
    <font>
      <name val="Arial"/>
      <b val="1"/>
      <color rgb="00137A45"/>
      <sz val="11"/>
    </font>
    <font>
      <name val="Arial"/>
      <b val="1"/>
      <color rgb="001E5FA8"/>
      <sz val="11"/>
    </font>
    <font>
      <name val="Arial"/>
      <b val="1"/>
      <color rgb="006B3FA0"/>
      <sz val="11"/>
    </font>
    <font>
      <name val="Arial"/>
      <b val="1"/>
      <color rgb="00B5651D"/>
      <sz val="11"/>
    </font>
    <font>
      <name val="Arial"/>
      <b val="1"/>
      <color rgb="008A6D1B"/>
      <sz val="11"/>
    </font>
    <font>
      <name val="Arial"/>
      <color rgb="006B7280"/>
      <sz val="10"/>
    </font>
    <font>
      <name val="Arial"/>
      <b val="1"/>
      <color rgb="00FFFFFF"/>
      <sz val="8"/>
    </font>
    <font>
      <name val="Arial"/>
      <b val="1"/>
      <color rgb="00155090"/>
      <sz val="14"/>
    </font>
    <font>
      <name val="Arial"/>
      <color rgb="006B7280"/>
      <sz val="8.5"/>
    </font>
    <font>
      <name val="Arial"/>
      <b val="1"/>
      <color rgb="00155090"/>
      <sz val="12"/>
    </font>
    <font>
      <name val="Arial"/>
      <b val="1"/>
      <color rgb="00FFFFFF"/>
      <sz val="9.5"/>
    </font>
    <font>
      <name val="Arial"/>
      <b val="1"/>
      <color rgb="00137A45"/>
      <sz val="9"/>
    </font>
    <font>
      <name val="Arial"/>
      <b val="1"/>
      <color rgb="001E5FA8"/>
      <sz val="9"/>
    </font>
    <font>
      <name val="Arial"/>
      <b val="1"/>
      <color rgb="006B3FA0"/>
      <sz val="9"/>
    </font>
    <font>
      <name val="Arial"/>
      <b val="1"/>
      <color rgb="00B5651D"/>
      <sz val="9"/>
    </font>
    <font>
      <name val="Arial"/>
      <b val="1"/>
      <color rgb="008A6D1B"/>
      <sz val="9"/>
    </font>
    <font>
      <name val="Arial"/>
      <b val="1"/>
      <color rgb="00111827"/>
      <sz val="10"/>
    </font>
    <font>
      <name val="Arial"/>
      <color rgb="001A6AB8"/>
      <sz val="10"/>
    </font>
    <font>
      <name val="Arial"/>
      <b val="1"/>
      <color rgb="00155090"/>
      <sz val="10"/>
    </font>
    <font>
      <name val="Arial"/>
      <b val="1"/>
      <color rgb="00FFFFFF"/>
      <sz val="10"/>
    </font>
    <font>
      <name val="Arial"/>
      <b val="1"/>
      <color rgb="0078DCE5"/>
      <sz val="10"/>
    </font>
    <font>
      <name val="Arial"/>
      <color rgb="006B7280"/>
      <sz val="9"/>
    </font>
    <font>
      <name val="Arial"/>
      <b val="1"/>
      <color rgb="00155090"/>
      <sz val="18"/>
    </font>
    <font>
      <name val="Arial"/>
      <color rgb="006B7280"/>
      <sz val="11"/>
    </font>
    <font>
      <name val="Arial"/>
      <b val="1"/>
      <color rgb="00FFFFFF"/>
      <sz val="8.5"/>
    </font>
    <font>
      <name val="Arial"/>
      <b val="1"/>
      <color rgb="00155090"/>
      <sz val="17"/>
    </font>
    <font>
      <name val="Arial"/>
      <b val="1"/>
      <color rgb="001A6AB8"/>
      <sz val="10"/>
    </font>
    <font>
      <name val="Arial"/>
      <b val="1"/>
      <color rgb="00155090"/>
      <sz val="13"/>
    </font>
    <font>
      <name val="Arial"/>
      <color rgb="00111827"/>
      <sz val="10"/>
    </font>
    <font>
      <name val="Arial"/>
      <b val="1"/>
      <color rgb="006B7280"/>
      <sz val="10"/>
    </font>
    <font>
      <name val="Arial"/>
      <b val="1"/>
      <color rgb="00137A45"/>
      <sz val="8"/>
    </font>
    <font>
      <name val="Arial"/>
      <b val="1"/>
      <color rgb="001E5FA8"/>
      <sz val="8"/>
    </font>
    <font>
      <name val="Arial"/>
      <b val="1"/>
      <color rgb="006B3FA0"/>
      <sz val="8"/>
    </font>
    <font>
      <name val="Arial"/>
      <b val="1"/>
      <color rgb="00B5651D"/>
      <sz val="8"/>
    </font>
    <font>
      <name val="Arial"/>
      <b val="1"/>
      <color rgb="008A6D1B"/>
      <sz val="8"/>
    </font>
    <font>
      <name val="Arial"/>
      <b val="1"/>
      <color rgb="00111827"/>
      <sz val="9"/>
    </font>
    <font>
      <name val="Arial"/>
      <color rgb="00111827"/>
      <sz val="9"/>
    </font>
    <font>
      <name val="Arial"/>
      <b val="1"/>
      <color rgb="00155090"/>
      <sz val="9"/>
    </font>
    <font>
      <name val="Arial"/>
      <b val="1"/>
      <color rgb="00FFFFFF"/>
      <sz val="9"/>
    </font>
    <font>
      <name val="Arial"/>
      <b val="1"/>
      <color rgb="0078DCE5"/>
      <sz val="9"/>
    </font>
  </fonts>
  <fills count="17">
    <fill>
      <patternFill/>
    </fill>
    <fill>
      <patternFill patternType="gray125"/>
    </fill>
    <fill>
      <patternFill patternType="solid">
        <fgColor rgb="00D9F2E4"/>
      </patternFill>
    </fill>
    <fill>
      <patternFill patternType="solid">
        <fgColor rgb="002E9E5B"/>
      </patternFill>
    </fill>
    <fill>
      <patternFill patternType="solid">
        <fgColor rgb="00DBEAFE"/>
      </patternFill>
    </fill>
    <fill>
      <patternFill patternType="solid">
        <fgColor rgb="003B82C4"/>
      </patternFill>
    </fill>
    <fill>
      <patternFill patternType="solid">
        <fgColor rgb="00EADCF8"/>
      </patternFill>
    </fill>
    <fill>
      <patternFill patternType="solid">
        <fgColor rgb="008054C7"/>
      </patternFill>
    </fill>
    <fill>
      <patternFill patternType="solid">
        <fgColor rgb="00FDE7D3"/>
      </patternFill>
    </fill>
    <fill>
      <patternFill patternType="solid">
        <fgColor rgb="00E38A3E"/>
      </patternFill>
    </fill>
    <fill>
      <patternFill patternType="solid">
        <fgColor rgb="00FBF3D0"/>
      </patternFill>
    </fill>
    <fill>
      <patternFill patternType="solid">
        <fgColor rgb="00E9C64B"/>
      </patternFill>
    </fill>
    <fill>
      <patternFill patternType="solid">
        <fgColor rgb="00F5F8FA"/>
      </patternFill>
    </fill>
    <fill>
      <patternFill patternType="solid">
        <fgColor rgb="00111827"/>
      </patternFill>
    </fill>
    <fill>
      <patternFill patternType="solid">
        <fgColor rgb="00FFFFFF"/>
      </patternFill>
    </fill>
    <fill>
      <patternFill patternType="solid">
        <fgColor rgb="00EAF3FB"/>
      </patternFill>
    </fill>
    <fill>
      <patternFill patternType="solid">
        <fgColor rgb="00F4F8FB"/>
      </patternFill>
    </fill>
  </fills>
  <borders count="22">
    <border>
      <left/>
      <right/>
      <top/>
      <bottom/>
      <diagonal/>
    </border>
    <border>
      <left style="thin">
        <color rgb="00E2E6EB"/>
      </left>
      <right style="thin">
        <color rgb="00E2E6EB"/>
      </right>
      <top style="thin">
        <color rgb="00E2E6EB"/>
      </top>
      <bottom style="thin">
        <color rgb="00E2E6EB"/>
      </bottom>
    </border>
    <border>
      <left/>
      <right/>
      <top style="thin">
        <color rgb="00E2E6EB"/>
      </top>
      <bottom/>
    </border>
    <border>
      <left/>
      <right/>
      <top/>
      <bottom style="thin">
        <color rgb="00E2E6EB"/>
      </bottom>
    </border>
    <border>
      <left style="thin">
        <color rgb="00E2E6EB"/>
      </left>
      <right/>
      <top style="thin">
        <color rgb="00E2E6EB"/>
      </top>
      <bottom/>
    </border>
    <border>
      <left/>
      <right style="thin">
        <color rgb="00E2E6EB"/>
      </right>
      <top style="thin">
        <color rgb="00E2E6EB"/>
      </top>
      <bottom/>
    </border>
    <border>
      <left style="thin">
        <color rgb="00E2E6EB"/>
      </left>
      <right/>
      <top/>
      <bottom/>
    </border>
    <border>
      <left/>
      <right style="thin">
        <color rgb="00E2E6EB"/>
      </right>
      <top/>
      <bottom/>
    </border>
    <border>
      <left style="thin">
        <color rgb="00E2E6EB"/>
      </left>
      <right/>
      <top/>
      <bottom style="thin">
        <color rgb="00E2E6EB"/>
      </bottom>
    </border>
    <border>
      <left/>
      <right style="thin">
        <color rgb="00E2E6EB"/>
      </right>
      <top/>
      <bottom style="thin">
        <color rgb="00E2E6EB"/>
      </bottom>
    </border>
    <border>
      <left style="thin">
        <color rgb="00E2E6EB"/>
      </left>
      <top style="thin">
        <color rgb="00E2E6EB"/>
      </top>
    </border>
    <border>
      <right style="thin">
        <color rgb="00E2E6EB"/>
      </right>
      <top style="thin">
        <color rgb="00E2E6EB"/>
      </top>
    </border>
    <border>
      <left style="thin">
        <color rgb="00E2E6EB"/>
      </left>
      <bottom style="thin">
        <color rgb="00E2E6EB"/>
      </bottom>
    </border>
    <border>
      <right style="thin">
        <color rgb="00E2E6EB"/>
      </right>
      <bottom style="thin">
        <color rgb="00E2E6EB"/>
      </bottom>
    </border>
    <border>
      <bottom style="medium">
        <color rgb="00155090"/>
      </bottom>
    </border>
    <border>
      <left style="thin">
        <color rgb="00D6E4F0"/>
      </left>
      <right style="thin">
        <color rgb="00D6E4F0"/>
      </right>
      <top style="thin">
        <color rgb="00EAF1F8"/>
      </top>
      <bottom style="thin">
        <color rgb="00EAF1F8"/>
      </bottom>
    </border>
    <border>
      <top style="thin">
        <color rgb="00E2E6EB"/>
      </top>
      <bottom style="medium">
        <color rgb="00155090"/>
      </bottom>
    </border>
    <border>
      <left style="thin">
        <color rgb="00E2E6EB"/>
      </left>
      <top style="thin">
        <color rgb="00E2E6EB"/>
      </top>
      <bottom style="medium">
        <color rgb="00155090"/>
      </bottom>
    </border>
    <border>
      <right style="thin">
        <color rgb="00E2E6EB"/>
      </right>
      <top style="thin">
        <color rgb="00E2E6EB"/>
      </top>
      <bottom style="medium">
        <color rgb="00155090"/>
      </bottom>
    </border>
    <border>
      <left style="thin">
        <color rgb="00D6E4F0"/>
      </left>
      <right style="thin">
        <color rgb="00D6E4F0"/>
      </right>
      <top style="thin">
        <color rgb="00D6E4F0"/>
      </top>
      <bottom style="thin">
        <color rgb="00D6E4F0"/>
      </bottom>
    </border>
    <border>
      <left style="thin">
        <color rgb="004FC9D4"/>
      </left>
      <right style="thin">
        <color rgb="004FC9D4"/>
      </right>
      <top style="thin">
        <color rgb="004FC9D4"/>
      </top>
      <bottom style="thin">
        <color rgb="004FC9D4"/>
      </bottom>
    </border>
    <border>
      <top style="thin">
        <color rgb="00E2E6EB"/>
      </top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25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left" vertical="top"/>
    </xf>
    <xf numFmtId="0" fontId="27" fillId="13" borderId="10" applyAlignment="1" pivotButton="0" quotePrefix="0" xfId="0">
      <alignment horizontal="center" vertical="center"/>
    </xf>
    <xf numFmtId="0" fontId="0" fillId="13" borderId="2" pivotButton="0" quotePrefix="0" xfId="0"/>
    <xf numFmtId="0" fontId="0" fillId="13" borderId="11" pivotButton="0" quotePrefix="0" xfId="0"/>
    <xf numFmtId="164" fontId="28" fillId="14" borderId="6" applyAlignment="1" pivotButton="0" quotePrefix="0" xfId="0">
      <alignment horizontal="center" vertical="center"/>
    </xf>
    <xf numFmtId="0" fontId="0" fillId="14" borderId="0" pivotButton="0" quotePrefix="0" xfId="0"/>
    <xf numFmtId="0" fontId="0" fillId="14" borderId="7" pivotButton="0" quotePrefix="0" xfId="0"/>
    <xf numFmtId="0" fontId="30" fillId="14" borderId="6" applyAlignment="1" pivotButton="0" quotePrefix="0" xfId="0">
      <alignment horizontal="center" vertical="center"/>
    </xf>
    <xf numFmtId="0" fontId="0" fillId="14" borderId="6" pivotButton="0" quotePrefix="0" xfId="0"/>
    <xf numFmtId="0" fontId="24" fillId="14" borderId="1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3" pivotButton="0" quotePrefix="0" xfId="0"/>
    <xf numFmtId="0" fontId="29" fillId="15" borderId="20" applyAlignment="1" pivotButton="0" quotePrefix="0" xfId="0">
      <alignment horizontal="center" vertical="center"/>
    </xf>
    <xf numFmtId="169" fontId="24" fillId="14" borderId="12" applyAlignment="1" pivotButton="0" quotePrefix="0" xfId="0">
      <alignment horizontal="center" vertical="center"/>
    </xf>
    <xf numFmtId="0" fontId="22" fillId="13" borderId="0" applyAlignment="1" pivotButton="0" quotePrefix="0" xfId="0">
      <alignment horizontal="left" vertical="center" indent="1"/>
    </xf>
    <xf numFmtId="0" fontId="0" fillId="13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168" fontId="19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19" fillId="0" borderId="21" applyAlignment="1" pivotButton="0" quotePrefix="0" xfId="0">
      <alignment horizontal="left" vertical="center"/>
    </xf>
    <xf numFmtId="168" fontId="21" fillId="0" borderId="21" applyAlignment="1" pivotButton="0" quotePrefix="0" xfId="0">
      <alignment horizontal="right" vertical="center"/>
    </xf>
    <xf numFmtId="170" fontId="32" fillId="0" borderId="21" applyAlignment="1" pivotButton="0" quotePrefix="0" xfId="0">
      <alignment horizontal="right" vertical="center"/>
    </xf>
    <xf numFmtId="0" fontId="27" fillId="13" borderId="10" applyAlignment="1" pivotButton="0" quotePrefix="0" xfId="0">
      <alignment horizontal="left" vertical="center" indent="1"/>
    </xf>
    <xf numFmtId="0" fontId="33" fillId="2" borderId="16" applyAlignment="1" pivotButton="0" quotePrefix="0" xfId="0">
      <alignment horizontal="center" vertical="center" wrapText="1"/>
    </xf>
    <xf numFmtId="0" fontId="34" fillId="4" borderId="16" applyAlignment="1" pivotButton="0" quotePrefix="0" xfId="0">
      <alignment horizontal="center" vertical="center" wrapText="1"/>
    </xf>
    <xf numFmtId="0" fontId="35" fillId="6" borderId="16" applyAlignment="1" pivotButton="0" quotePrefix="0" xfId="0">
      <alignment horizontal="center" vertical="center" wrapText="1"/>
    </xf>
    <xf numFmtId="0" fontId="36" fillId="8" borderId="16" applyAlignment="1" pivotButton="0" quotePrefix="0" xfId="0">
      <alignment horizontal="center" vertical="center" wrapText="1"/>
    </xf>
    <xf numFmtId="0" fontId="37" fillId="10" borderId="16" applyAlignment="1" pivotButton="0" quotePrefix="0" xfId="0">
      <alignment horizontal="center" vertical="center" wrapText="1"/>
    </xf>
    <xf numFmtId="0" fontId="27" fillId="13" borderId="16" applyAlignment="1" pivotButton="0" quotePrefix="0" xfId="0">
      <alignment horizontal="center" vertical="center" wrapText="1"/>
    </xf>
    <xf numFmtId="0" fontId="27" fillId="13" borderId="11" applyAlignment="1" pivotButton="0" quotePrefix="0" xfId="0">
      <alignment horizontal="center" vertical="center" wrapText="1"/>
    </xf>
    <xf numFmtId="0" fontId="38" fillId="0" borderId="6" applyAlignment="1" pivotButton="0" quotePrefix="0" xfId="0">
      <alignment horizontal="left" vertical="center" indent="1"/>
    </xf>
    <xf numFmtId="166" fontId="39" fillId="0" borderId="0" applyAlignment="1" pivotButton="0" quotePrefix="0" xfId="0">
      <alignment horizontal="right" vertical="center" indent="1"/>
    </xf>
    <xf numFmtId="166" fontId="40" fillId="0" borderId="0" applyAlignment="1" pivotButton="0" quotePrefix="0" xfId="0">
      <alignment horizontal="right" vertical="center" indent="1"/>
    </xf>
    <xf numFmtId="167" fontId="24" fillId="0" borderId="7" applyAlignment="1" pivotButton="0" quotePrefix="0" xfId="0">
      <alignment horizontal="center" vertical="center"/>
    </xf>
    <xf numFmtId="0" fontId="38" fillId="16" borderId="6" applyAlignment="1" pivotButton="0" quotePrefix="0" xfId="0">
      <alignment horizontal="left" vertical="center" indent="1"/>
    </xf>
    <xf numFmtId="166" fontId="39" fillId="16" borderId="0" applyAlignment="1" pivotButton="0" quotePrefix="0" xfId="0">
      <alignment horizontal="right" vertical="center" indent="1"/>
    </xf>
    <xf numFmtId="166" fontId="40" fillId="16" borderId="0" applyAlignment="1" pivotButton="0" quotePrefix="0" xfId="0">
      <alignment horizontal="right" vertical="center" indent="1"/>
    </xf>
    <xf numFmtId="167" fontId="24" fillId="16" borderId="7" applyAlignment="1" pivotButton="0" quotePrefix="0" xfId="0">
      <alignment horizontal="center" vertical="center"/>
    </xf>
    <xf numFmtId="0" fontId="41" fillId="13" borderId="12" applyAlignment="1" pivotButton="0" quotePrefix="0" xfId="0">
      <alignment horizontal="left" vertical="center" indent="1"/>
    </xf>
    <xf numFmtId="168" fontId="41" fillId="13" borderId="3" applyAlignment="1" pivotButton="0" quotePrefix="0" xfId="0">
      <alignment horizontal="right" vertical="center" indent="1"/>
    </xf>
    <xf numFmtId="168" fontId="42" fillId="13" borderId="3" applyAlignment="1" pivotButton="0" quotePrefix="0" xfId="0">
      <alignment horizontal="right" vertical="center" indent="1"/>
    </xf>
    <xf numFmtId="0" fontId="0" fillId="13" borderId="13" pivotButton="0" quotePrefix="0" xfId="0"/>
    <xf numFmtId="0" fontId="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13" borderId="10" applyAlignment="1" pivotButton="0" quotePrefix="0" xfId="0">
      <alignment horizontal="center" vertical="center"/>
    </xf>
    <xf numFmtId="164" fontId="10" fillId="14" borderId="6" applyAlignment="1" pivotButton="0" quotePrefix="0" xfId="0">
      <alignment horizontal="center" vertical="center"/>
    </xf>
    <xf numFmtId="0" fontId="12" fillId="14" borderId="6" applyAlignment="1" pivotButton="0" quotePrefix="0" xfId="0">
      <alignment horizontal="center" vertical="center"/>
    </xf>
    <xf numFmtId="0" fontId="11" fillId="14" borderId="12" applyAlignment="1" pivotButton="0" quotePrefix="0" xfId="0">
      <alignment horizontal="center" vertical="center"/>
    </xf>
    <xf numFmtId="165" fontId="11" fillId="14" borderId="12" applyAlignment="1" pivotButton="0" quotePrefix="0" xfId="0">
      <alignment horizontal="center" vertical="center"/>
    </xf>
    <xf numFmtId="0" fontId="13" fillId="13" borderId="10" applyAlignment="1" pivotButton="0" quotePrefix="0" xfId="0">
      <alignment horizontal="left" vertical="center" indent="1"/>
    </xf>
    <xf numFmtId="0" fontId="14" fillId="2" borderId="16" applyAlignment="1" pivotButton="0" quotePrefix="0" xfId="0">
      <alignment horizontal="center" vertical="center" wrapText="1"/>
    </xf>
    <xf numFmtId="0" fontId="15" fillId="4" borderId="16" applyAlignment="1" pivotButton="0" quotePrefix="0" xfId="0">
      <alignment horizontal="center" vertical="center" wrapText="1"/>
    </xf>
    <xf numFmtId="0" fontId="16" fillId="6" borderId="16" applyAlignment="1" pivotButton="0" quotePrefix="0" xfId="0">
      <alignment horizontal="center" vertical="center" wrapText="1"/>
    </xf>
    <xf numFmtId="0" fontId="17" fillId="8" borderId="16" applyAlignment="1" pivotButton="0" quotePrefix="0" xfId="0">
      <alignment horizontal="center" vertical="center" wrapText="1"/>
    </xf>
    <xf numFmtId="0" fontId="18" fillId="10" borderId="16" applyAlignment="1" pivotButton="0" quotePrefix="0" xfId="0">
      <alignment horizontal="center" vertical="center" wrapText="1"/>
    </xf>
    <xf numFmtId="0" fontId="13" fillId="13" borderId="16" applyAlignment="1" pivotButton="0" quotePrefix="0" xfId="0">
      <alignment horizontal="center" vertical="center" wrapText="1"/>
    </xf>
    <xf numFmtId="0" fontId="13" fillId="13" borderId="11" applyAlignment="1" pivotButton="0" quotePrefix="0" xfId="0">
      <alignment horizontal="center" vertical="center" wrapText="1"/>
    </xf>
    <xf numFmtId="0" fontId="19" fillId="0" borderId="6" applyAlignment="1" pivotButton="0" quotePrefix="0" xfId="0">
      <alignment horizontal="left" vertical="center" indent="1"/>
    </xf>
    <xf numFmtId="166" fontId="20" fillId="15" borderId="15" applyAlignment="1" pivotButton="0" quotePrefix="0" xfId="0">
      <alignment horizontal="right" vertical="center" indent="1"/>
    </xf>
    <xf numFmtId="166" fontId="21" fillId="0" borderId="0" applyAlignment="1" pivotButton="0" quotePrefix="0" xfId="0">
      <alignment horizontal="right" vertical="center" indent="1"/>
    </xf>
    <xf numFmtId="0" fontId="0" fillId="0" borderId="7" pivotButton="0" quotePrefix="0" xfId="0"/>
    <xf numFmtId="167" fontId="8" fillId="0" borderId="7" applyAlignment="1" pivotButton="0" quotePrefix="0" xfId="0">
      <alignment horizontal="center" vertical="center"/>
    </xf>
    <xf numFmtId="0" fontId="22" fillId="13" borderId="12" applyAlignment="1" pivotButton="0" quotePrefix="0" xfId="0">
      <alignment horizontal="left" vertical="center" indent="1"/>
    </xf>
    <xf numFmtId="168" fontId="22" fillId="13" borderId="3" applyAlignment="1" pivotButton="0" quotePrefix="0" xfId="0">
      <alignment horizontal="right" vertical="center" indent="1"/>
    </xf>
    <xf numFmtId="168" fontId="23" fillId="13" borderId="3" applyAlignment="1" pivotButton="0" quotePrefix="0" xfId="0">
      <alignment horizontal="right" vertical="center" indent="1"/>
    </xf>
    <xf numFmtId="0" fontId="0" fillId="15" borderId="19" pivotButton="0" quotePrefix="0" xfId="0"/>
    <xf numFmtId="0" fontId="2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0" fillId="3" borderId="1" pivotButton="0" quotePrefix="0" xfId="0"/>
    <xf numFmtId="0" fontId="4" fillId="4" borderId="1" applyAlignment="1" pivotButton="0" quotePrefix="0" xfId="0">
      <alignment horizontal="left" vertical="center"/>
    </xf>
    <xf numFmtId="0" fontId="0" fillId="5" borderId="1" pivotButton="0" quotePrefix="0" xfId="0"/>
    <xf numFmtId="0" fontId="5" fillId="6" borderId="1" applyAlignment="1" pivotButton="0" quotePrefix="0" xfId="0">
      <alignment horizontal="left" vertical="center"/>
    </xf>
    <xf numFmtId="0" fontId="0" fillId="7" borderId="1" pivotButton="0" quotePrefix="0" xfId="0"/>
    <xf numFmtId="0" fontId="6" fillId="8" borderId="1" applyAlignment="1" pivotButton="0" quotePrefix="0" xfId="0">
      <alignment horizontal="left" vertical="center"/>
    </xf>
    <xf numFmtId="0" fontId="0" fillId="9" borderId="1" pivotButton="0" quotePrefix="0" xfId="0"/>
    <xf numFmtId="0" fontId="7" fillId="10" borderId="1" applyAlignment="1" pivotButton="0" quotePrefix="0" xfId="0">
      <alignment horizontal="left" vertical="center"/>
    </xf>
    <xf numFmtId="0" fontId="0" fillId="11" borderId="1" pivotButton="0" quotePrefix="0" xfId="0"/>
    <xf numFmtId="0" fontId="8" fillId="12" borderId="10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11" pivotButton="0" quotePrefix="0" xfId="0"/>
    <xf numFmtId="0" fontId="0" fillId="0" borderId="6" pivotButton="0" quotePrefix="0" xfId="0"/>
    <xf numFmtId="0" fontId="0" fillId="0" borderId="1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9E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B82C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054C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E38A3E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9C64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'Dashboard'!$E$15:$E$19</f>
            </numRef>
          </cat>
          <val>
            <numRef>
              <f>'Dashboard'!$F$15:$F$19</f>
            </numRef>
          </val>
        </ser>
        <dLbls>
          <numFmt formatCode="0%"/>
          <showPercent val="1"/>
        </dLbls>
        <firstSliceAng val="0"/>
      </pieChart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'Monthly Expenses'!G8</f>
            </strRef>
          </tx>
          <spPr>
            <a:solidFill xmlns:a="http://schemas.openxmlformats.org/drawingml/2006/main">
              <a:srgbClr val="155090"/>
            </a:solidFill>
            <a:ln xmlns:a="http://schemas.openxmlformats.org/drawingml/2006/main">
              <a:prstDash val="solid"/>
            </a:ln>
          </spPr>
          <cat>
            <numRef>
              <f>'Monthly Expenses'!$A$9:$A$20</f>
            </numRef>
          </cat>
          <val>
            <numRef>
              <f>'Monthly Expenses'!$G$9:$G$20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2376000" cy="2015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</row>
      <rowOff>0</rowOff>
    </from>
    <ext cx="3816000" cy="230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</row>
      <rowOff>0</rowOff>
    </from>
    <ext cx="438150" cy="4381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N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2.5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.5" customWidth="1" min="15" max="15"/>
  </cols>
  <sheetData>
    <row r="2" ht="24" customHeight="1">
      <c r="C2" s="1" t="inlineStr">
        <is>
          <t>PEAK STATE LABS</t>
        </is>
      </c>
    </row>
    <row r="3" ht="18" customHeight="1">
      <c r="C3" s="2" t="inlineStr">
        <is>
          <t>Expense Tracker  ·  2026</t>
        </is>
      </c>
    </row>
    <row r="4" ht="8" customHeight="1"/>
    <row r="6" ht="18" customHeight="1">
      <c r="B6" s="3" t="inlineStr">
        <is>
          <t>TOTAL EXPENSES  ·  ALL TIME</t>
        </is>
      </c>
      <c r="C6" s="4" t="n"/>
      <c r="D6" s="5" t="n"/>
      <c r="E6" s="3" t="inlineStr">
        <is>
          <t>THIS MONTH'S EXPENSES</t>
        </is>
      </c>
      <c r="F6" s="4" t="n"/>
      <c r="G6" s="5" t="n"/>
      <c r="I6" s="3" t="inlineStr">
        <is>
          <t>AVERAGE MONTHLY SPEND</t>
        </is>
      </c>
      <c r="J6" s="4" t="n"/>
      <c r="K6" s="5" t="n"/>
      <c r="L6" s="3" t="inlineStr">
        <is>
          <t>LARGEST EXPENSE CATEGORY</t>
        </is>
      </c>
      <c r="M6" s="4" t="n"/>
      <c r="N6" s="5" t="n"/>
    </row>
    <row r="7" ht="22" customHeight="1">
      <c r="B7" s="6">
        <f>SUM('Monthly Expenses'!$B$9:$F$20)</f>
        <v/>
      </c>
      <c r="C7" s="7" t="n"/>
      <c r="D7" s="8" t="n"/>
      <c r="E7" s="6">
        <f>IFERROR(INDEX('Monthly Expenses'!$G$9:$G$20,MATCH($E$9,'Monthly Expenses'!$A$9:$A$20,0)),0)</f>
        <v/>
      </c>
      <c r="F7" s="7" t="n"/>
      <c r="G7" s="8" t="n"/>
      <c r="I7" s="6">
        <f>IFERROR(SUM('Monthly Expenses'!$B$9:$F$20)/COUNTIF('Monthly Expenses'!$G$9:$G$20,"&gt;0"),0)</f>
        <v/>
      </c>
      <c r="J7" s="7" t="n"/>
      <c r="K7" s="8" t="n"/>
      <c r="L7" s="9">
        <f>IFERROR(INDEX($E$15:$E$19,MATCH(MAX($F$15:$F$19),$F$15:$F$19,0)),"")</f>
        <v/>
      </c>
      <c r="M7" s="7" t="n"/>
      <c r="N7" s="8" t="n"/>
    </row>
    <row r="8" ht="14" customHeight="1">
      <c r="B8" s="10" t="n"/>
      <c r="C8" s="7" t="n"/>
      <c r="D8" s="8" t="n"/>
      <c r="E8" s="10" t="n"/>
      <c r="F8" s="7" t="n"/>
      <c r="G8" s="8" t="n"/>
      <c r="I8" s="10" t="n"/>
      <c r="J8" s="7" t="n"/>
      <c r="K8" s="8" t="n"/>
      <c r="L8" s="10" t="n"/>
      <c r="M8" s="7" t="n"/>
      <c r="N8" s="8" t="n"/>
    </row>
    <row r="9" ht="18" customHeight="1">
      <c r="B9" s="11" t="inlineStr">
        <is>
          <t>Full-year 2026 to date</t>
        </is>
      </c>
      <c r="C9" s="12" t="n"/>
      <c r="D9" s="13" t="n"/>
      <c r="E9" s="14" t="inlineStr">
        <is>
          <t>Aug 2026</t>
        </is>
      </c>
      <c r="F9" s="12" t="n"/>
      <c r="G9" s="13" t="n"/>
      <c r="I9" s="11" t="inlineStr">
        <is>
          <t>Months with expenses only</t>
        </is>
      </c>
      <c r="J9" s="12" t="n"/>
      <c r="K9" s="13" t="n"/>
      <c r="L9" s="15">
        <f>IFERROR(MAX($F$15:$F$19),0)</f>
        <v/>
      </c>
      <c r="M9" s="12" t="n"/>
      <c r="N9" s="13" t="n"/>
    </row>
    <row r="11" ht="20" customHeight="1">
      <c r="B11" s="16" t="inlineStr">
        <is>
          <t>EXPENSES BY CATEGORY</t>
        </is>
      </c>
      <c r="C11" s="17" t="n"/>
      <c r="D11" s="17" t="n"/>
      <c r="E11" s="17" t="n"/>
      <c r="F11" s="17" t="n"/>
      <c r="G11" s="17" t="n"/>
      <c r="I11" s="16" t="inlineStr">
        <is>
          <t>MONTHLY SPENDING TREND</t>
        </is>
      </c>
      <c r="J11" s="17" t="n"/>
      <c r="K11" s="17" t="n"/>
      <c r="L11" s="17" t="n"/>
      <c r="M11" s="17" t="n"/>
      <c r="N11" s="17" t="n"/>
    </row>
    <row r="14">
      <c r="E14" s="18" t="inlineStr">
        <is>
          <t>Category</t>
        </is>
      </c>
      <c r="F14" s="19" t="inlineStr">
        <is>
          <t>Total</t>
        </is>
      </c>
      <c r="G14" s="19" t="inlineStr">
        <is>
          <t>% of Total</t>
        </is>
      </c>
    </row>
    <row r="15" ht="17" customHeight="1">
      <c r="E15" s="20">
        <f>Categories!$A$2</f>
        <v/>
      </c>
      <c r="F15" s="21">
        <f>'Monthly Expenses'!$B$21</f>
        <v/>
      </c>
      <c r="G15" s="22">
        <f>IFERROR($F15/SUM($F$15:$F$19),0)</f>
        <v/>
      </c>
    </row>
    <row r="16" ht="17" customHeight="1">
      <c r="E16" s="20">
        <f>Categories!$A$3</f>
        <v/>
      </c>
      <c r="F16" s="21">
        <f>'Monthly Expenses'!$C$21</f>
        <v/>
      </c>
      <c r="G16" s="22">
        <f>IFERROR($F16/SUM($F$15:$F$19),0)</f>
        <v/>
      </c>
    </row>
    <row r="17" ht="17" customHeight="1">
      <c r="E17" s="20">
        <f>Categories!$A$4</f>
        <v/>
      </c>
      <c r="F17" s="21">
        <f>'Monthly Expenses'!$D$21</f>
        <v/>
      </c>
      <c r="G17" s="22">
        <f>IFERROR($F17/SUM($F$15:$F$19),0)</f>
        <v/>
      </c>
    </row>
    <row r="18" ht="17" customHeight="1">
      <c r="E18" s="20">
        <f>Categories!$A$5</f>
        <v/>
      </c>
      <c r="F18" s="21">
        <f>'Monthly Expenses'!$E$21</f>
        <v/>
      </c>
      <c r="G18" s="22">
        <f>IFERROR($F18/SUM($F$15:$F$19),0)</f>
        <v/>
      </c>
    </row>
    <row r="19" ht="17" customHeight="1">
      <c r="E19" s="20">
        <f>Categories!$A$6</f>
        <v/>
      </c>
      <c r="F19" s="21">
        <f>'Monthly Expenses'!$F$21</f>
        <v/>
      </c>
      <c r="G19" s="22">
        <f>IFERROR($F19/SUM($F$15:$F$19),0)</f>
        <v/>
      </c>
    </row>
    <row r="20">
      <c r="E20" s="23" t="inlineStr">
        <is>
          <t>Total</t>
        </is>
      </c>
      <c r="F20" s="24">
        <f>SUM(F15:F19)</f>
        <v/>
      </c>
      <c r="G20" s="25">
        <f>IFERROR(SUM(G15:G19),0)</f>
        <v/>
      </c>
    </row>
    <row r="27" ht="20" customHeight="1">
      <c r="B27" s="16" t="inlineStr">
        <is>
          <t>2026 MONTHLY BREAKDOWN   (read-only — edit on the Monthly Expenses tab)</t>
        </is>
      </c>
      <c r="C27" s="17" t="n"/>
      <c r="D27" s="17" t="n"/>
      <c r="E27" s="17" t="n"/>
      <c r="F27" s="17" t="n"/>
      <c r="G27" s="17" t="n"/>
      <c r="H27" s="17" t="n"/>
      <c r="I27" s="17" t="n"/>
    </row>
    <row r="28" ht="26" customHeight="1">
      <c r="B28" s="26" t="inlineStr">
        <is>
          <t>Month</t>
        </is>
      </c>
      <c r="C28" s="27" t="inlineStr">
        <is>
          <t>Inventory (COGS)</t>
        </is>
      </c>
      <c r="D28" s="28" t="inlineStr">
        <is>
          <t>Packaging &amp; Shipping</t>
        </is>
      </c>
      <c r="E28" s="29" t="inlineStr">
        <is>
          <t>Software &amp; Technology</t>
        </is>
      </c>
      <c r="F28" s="30" t="inlineStr">
        <is>
          <t>Marketing &amp; Advertising</t>
        </is>
      </c>
      <c r="G28" s="31" t="inlineStr">
        <is>
          <t>Office &amp; Supplies</t>
        </is>
      </c>
      <c r="H28" s="32" t="inlineStr">
        <is>
          <t>Total</t>
        </is>
      </c>
      <c r="I28" s="33" t="inlineStr">
        <is>
          <t>% Chg</t>
        </is>
      </c>
    </row>
    <row r="29" ht="16" customHeight="1">
      <c r="B29" s="34">
        <f>'Monthly Expenses'!$A$9</f>
        <v/>
      </c>
      <c r="C29" s="35">
        <f>'Monthly Expenses'!$B$9</f>
        <v/>
      </c>
      <c r="D29" s="35">
        <f>'Monthly Expenses'!$C$9</f>
        <v/>
      </c>
      <c r="E29" s="35">
        <f>'Monthly Expenses'!$D$9</f>
        <v/>
      </c>
      <c r="F29" s="35">
        <f>'Monthly Expenses'!$E$9</f>
        <v/>
      </c>
      <c r="G29" s="35">
        <f>'Monthly Expenses'!$F$9</f>
        <v/>
      </c>
      <c r="H29" s="36">
        <f>'Monthly Expenses'!$G$9</f>
        <v/>
      </c>
      <c r="I29" s="37">
        <f>'Monthly Expenses'!$H$9</f>
        <v/>
      </c>
    </row>
    <row r="30" ht="16" customHeight="1">
      <c r="B30" s="38">
        <f>'Monthly Expenses'!$A$10</f>
        <v/>
      </c>
      <c r="C30" s="39">
        <f>'Monthly Expenses'!$B$10</f>
        <v/>
      </c>
      <c r="D30" s="39">
        <f>'Monthly Expenses'!$C$10</f>
        <v/>
      </c>
      <c r="E30" s="39">
        <f>'Monthly Expenses'!$D$10</f>
        <v/>
      </c>
      <c r="F30" s="39">
        <f>'Monthly Expenses'!$E$10</f>
        <v/>
      </c>
      <c r="G30" s="39">
        <f>'Monthly Expenses'!$F$10</f>
        <v/>
      </c>
      <c r="H30" s="40">
        <f>'Monthly Expenses'!$G$10</f>
        <v/>
      </c>
      <c r="I30" s="41">
        <f>'Monthly Expenses'!$H$10</f>
        <v/>
      </c>
    </row>
    <row r="31" ht="16" customHeight="1">
      <c r="B31" s="34">
        <f>'Monthly Expenses'!$A$11</f>
        <v/>
      </c>
      <c r="C31" s="35">
        <f>'Monthly Expenses'!$B$11</f>
        <v/>
      </c>
      <c r="D31" s="35">
        <f>'Monthly Expenses'!$C$11</f>
        <v/>
      </c>
      <c r="E31" s="35">
        <f>'Monthly Expenses'!$D$11</f>
        <v/>
      </c>
      <c r="F31" s="35">
        <f>'Monthly Expenses'!$E$11</f>
        <v/>
      </c>
      <c r="G31" s="35">
        <f>'Monthly Expenses'!$F$11</f>
        <v/>
      </c>
      <c r="H31" s="36">
        <f>'Monthly Expenses'!$G$11</f>
        <v/>
      </c>
      <c r="I31" s="37">
        <f>'Monthly Expenses'!$H$11</f>
        <v/>
      </c>
    </row>
    <row r="32" ht="16" customHeight="1">
      <c r="B32" s="38">
        <f>'Monthly Expenses'!$A$12</f>
        <v/>
      </c>
      <c r="C32" s="39">
        <f>'Monthly Expenses'!$B$12</f>
        <v/>
      </c>
      <c r="D32" s="39">
        <f>'Monthly Expenses'!$C$12</f>
        <v/>
      </c>
      <c r="E32" s="39">
        <f>'Monthly Expenses'!$D$12</f>
        <v/>
      </c>
      <c r="F32" s="39">
        <f>'Monthly Expenses'!$E$12</f>
        <v/>
      </c>
      <c r="G32" s="39">
        <f>'Monthly Expenses'!$F$12</f>
        <v/>
      </c>
      <c r="H32" s="40">
        <f>'Monthly Expenses'!$G$12</f>
        <v/>
      </c>
      <c r="I32" s="41">
        <f>'Monthly Expenses'!$H$12</f>
        <v/>
      </c>
    </row>
    <row r="33" ht="16" customHeight="1">
      <c r="B33" s="34">
        <f>'Monthly Expenses'!$A$13</f>
        <v/>
      </c>
      <c r="C33" s="35">
        <f>'Monthly Expenses'!$B$13</f>
        <v/>
      </c>
      <c r="D33" s="35">
        <f>'Monthly Expenses'!$C$13</f>
        <v/>
      </c>
      <c r="E33" s="35">
        <f>'Monthly Expenses'!$D$13</f>
        <v/>
      </c>
      <c r="F33" s="35">
        <f>'Monthly Expenses'!$E$13</f>
        <v/>
      </c>
      <c r="G33" s="35">
        <f>'Monthly Expenses'!$F$13</f>
        <v/>
      </c>
      <c r="H33" s="36">
        <f>'Monthly Expenses'!$G$13</f>
        <v/>
      </c>
      <c r="I33" s="37">
        <f>'Monthly Expenses'!$H$13</f>
        <v/>
      </c>
    </row>
    <row r="34" ht="16" customHeight="1">
      <c r="B34" s="38">
        <f>'Monthly Expenses'!$A$14</f>
        <v/>
      </c>
      <c r="C34" s="39">
        <f>'Monthly Expenses'!$B$14</f>
        <v/>
      </c>
      <c r="D34" s="39">
        <f>'Monthly Expenses'!$C$14</f>
        <v/>
      </c>
      <c r="E34" s="39">
        <f>'Monthly Expenses'!$D$14</f>
        <v/>
      </c>
      <c r="F34" s="39">
        <f>'Monthly Expenses'!$E$14</f>
        <v/>
      </c>
      <c r="G34" s="39">
        <f>'Monthly Expenses'!$F$14</f>
        <v/>
      </c>
      <c r="H34" s="40">
        <f>'Monthly Expenses'!$G$14</f>
        <v/>
      </c>
      <c r="I34" s="41">
        <f>'Monthly Expenses'!$H$14</f>
        <v/>
      </c>
    </row>
    <row r="35" ht="16" customHeight="1">
      <c r="B35" s="34">
        <f>'Monthly Expenses'!$A$15</f>
        <v/>
      </c>
      <c r="C35" s="35">
        <f>'Monthly Expenses'!$B$15</f>
        <v/>
      </c>
      <c r="D35" s="35">
        <f>'Monthly Expenses'!$C$15</f>
        <v/>
      </c>
      <c r="E35" s="35">
        <f>'Monthly Expenses'!$D$15</f>
        <v/>
      </c>
      <c r="F35" s="35">
        <f>'Monthly Expenses'!$E$15</f>
        <v/>
      </c>
      <c r="G35" s="35">
        <f>'Monthly Expenses'!$F$15</f>
        <v/>
      </c>
      <c r="H35" s="36">
        <f>'Monthly Expenses'!$G$15</f>
        <v/>
      </c>
      <c r="I35" s="37">
        <f>'Monthly Expenses'!$H$15</f>
        <v/>
      </c>
    </row>
    <row r="36" ht="16" customHeight="1">
      <c r="B36" s="38">
        <f>'Monthly Expenses'!$A$16</f>
        <v/>
      </c>
      <c r="C36" s="39">
        <f>'Monthly Expenses'!$B$16</f>
        <v/>
      </c>
      <c r="D36" s="39">
        <f>'Monthly Expenses'!$C$16</f>
        <v/>
      </c>
      <c r="E36" s="39">
        <f>'Monthly Expenses'!$D$16</f>
        <v/>
      </c>
      <c r="F36" s="39">
        <f>'Monthly Expenses'!$E$16</f>
        <v/>
      </c>
      <c r="G36" s="39">
        <f>'Monthly Expenses'!$F$16</f>
        <v/>
      </c>
      <c r="H36" s="40">
        <f>'Monthly Expenses'!$G$16</f>
        <v/>
      </c>
      <c r="I36" s="41">
        <f>'Monthly Expenses'!$H$16</f>
        <v/>
      </c>
    </row>
    <row r="37" ht="16" customHeight="1">
      <c r="B37" s="34">
        <f>'Monthly Expenses'!$A$17</f>
        <v/>
      </c>
      <c r="C37" s="35">
        <f>'Monthly Expenses'!$B$17</f>
        <v/>
      </c>
      <c r="D37" s="35">
        <f>'Monthly Expenses'!$C$17</f>
        <v/>
      </c>
      <c r="E37" s="35">
        <f>'Monthly Expenses'!$D$17</f>
        <v/>
      </c>
      <c r="F37" s="35">
        <f>'Monthly Expenses'!$E$17</f>
        <v/>
      </c>
      <c r="G37" s="35">
        <f>'Monthly Expenses'!$F$17</f>
        <v/>
      </c>
      <c r="H37" s="36">
        <f>'Monthly Expenses'!$G$17</f>
        <v/>
      </c>
      <c r="I37" s="37">
        <f>'Monthly Expenses'!$H$17</f>
        <v/>
      </c>
    </row>
    <row r="38" ht="16" customHeight="1">
      <c r="B38" s="38">
        <f>'Monthly Expenses'!$A$18</f>
        <v/>
      </c>
      <c r="C38" s="39">
        <f>'Monthly Expenses'!$B$18</f>
        <v/>
      </c>
      <c r="D38" s="39">
        <f>'Monthly Expenses'!$C$18</f>
        <v/>
      </c>
      <c r="E38" s="39">
        <f>'Monthly Expenses'!$D$18</f>
        <v/>
      </c>
      <c r="F38" s="39">
        <f>'Monthly Expenses'!$E$18</f>
        <v/>
      </c>
      <c r="G38" s="39">
        <f>'Monthly Expenses'!$F$18</f>
        <v/>
      </c>
      <c r="H38" s="40">
        <f>'Monthly Expenses'!$G$18</f>
        <v/>
      </c>
      <c r="I38" s="41">
        <f>'Monthly Expenses'!$H$18</f>
        <v/>
      </c>
    </row>
    <row r="39" ht="16" customHeight="1">
      <c r="B39" s="34">
        <f>'Monthly Expenses'!$A$19</f>
        <v/>
      </c>
      <c r="C39" s="35">
        <f>'Monthly Expenses'!$B$19</f>
        <v/>
      </c>
      <c r="D39" s="35">
        <f>'Monthly Expenses'!$C$19</f>
        <v/>
      </c>
      <c r="E39" s="35">
        <f>'Monthly Expenses'!$D$19</f>
        <v/>
      </c>
      <c r="F39" s="35">
        <f>'Monthly Expenses'!$E$19</f>
        <v/>
      </c>
      <c r="G39" s="35">
        <f>'Monthly Expenses'!$F$19</f>
        <v/>
      </c>
      <c r="H39" s="36">
        <f>'Monthly Expenses'!$G$19</f>
        <v/>
      </c>
      <c r="I39" s="37">
        <f>'Monthly Expenses'!$H$19</f>
        <v/>
      </c>
    </row>
    <row r="40" ht="16" customHeight="1">
      <c r="B40" s="38">
        <f>'Monthly Expenses'!$A$20</f>
        <v/>
      </c>
      <c r="C40" s="39">
        <f>'Monthly Expenses'!$B$20</f>
        <v/>
      </c>
      <c r="D40" s="39">
        <f>'Monthly Expenses'!$C$20</f>
        <v/>
      </c>
      <c r="E40" s="39">
        <f>'Monthly Expenses'!$D$20</f>
        <v/>
      </c>
      <c r="F40" s="39">
        <f>'Monthly Expenses'!$E$20</f>
        <v/>
      </c>
      <c r="G40" s="39">
        <f>'Monthly Expenses'!$F$20</f>
        <v/>
      </c>
      <c r="H40" s="40">
        <f>'Monthly Expenses'!$G$20</f>
        <v/>
      </c>
      <c r="I40" s="41">
        <f>'Monthly Expenses'!$H$20</f>
        <v/>
      </c>
    </row>
    <row r="41" ht="20" customHeight="1">
      <c r="B41" s="42" t="inlineStr">
        <is>
          <t>Total 2026</t>
        </is>
      </c>
      <c r="C41" s="43">
        <f>'Monthly Expenses'!$B$21</f>
        <v/>
      </c>
      <c r="D41" s="43">
        <f>'Monthly Expenses'!$C$21</f>
        <v/>
      </c>
      <c r="E41" s="43">
        <f>'Monthly Expenses'!$D$21</f>
        <v/>
      </c>
      <c r="F41" s="43">
        <f>'Monthly Expenses'!$E$21</f>
        <v/>
      </c>
      <c r="G41" s="43">
        <f>'Monthly Expenses'!$F$21</f>
        <v/>
      </c>
      <c r="H41" s="44">
        <f>'Monthly Expenses'!$G$21</f>
        <v/>
      </c>
      <c r="I41" s="45" t="n"/>
    </row>
  </sheetData>
  <mergeCells count="17">
    <mergeCell ref="I7:K8"/>
    <mergeCell ref="L7:N8"/>
    <mergeCell ref="I11:N11"/>
    <mergeCell ref="B11:G11"/>
    <mergeCell ref="C2:G2"/>
    <mergeCell ref="I9:K9"/>
    <mergeCell ref="L9:N9"/>
    <mergeCell ref="B9:D9"/>
    <mergeCell ref="E7:G8"/>
    <mergeCell ref="E9:G9"/>
    <mergeCell ref="B27:I27"/>
    <mergeCell ref="L6:N6"/>
    <mergeCell ref="B6:D6"/>
    <mergeCell ref="B7:D8"/>
    <mergeCell ref="E6:G6"/>
    <mergeCell ref="C3:G3"/>
    <mergeCell ref="I6:K6"/>
  </mergeCells>
  <dataValidations count="1">
    <dataValidation sqref="E9" showDropDown="0" showInputMessage="0" showErrorMessage="0" allowBlank="1" prompt="Select a month" type="list">
      <formula1>='Monthly Expenses'!$A$9:$A$20</formula1>
    </dataValidation>
  </dataValidations>
  <pageMargins left="0.3" right="0.3" top="0.4" bottom="0.4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3" customWidth="1" min="8" max="8"/>
  </cols>
  <sheetData>
    <row r="1" ht="26" customHeight="1">
      <c r="A1" s="46" t="inlineStr">
        <is>
          <t>MONTHLY EXPENSES</t>
        </is>
      </c>
    </row>
    <row r="2">
      <c r="A2" s="47" t="inlineStr">
        <is>
          <t>Type your monthly total for each category in the shaded columns.  Total and % Change fill in automatically.  Add new months at the bottom.</t>
        </is>
      </c>
    </row>
    <row r="4" ht="19" customHeight="1">
      <c r="A4" s="48" t="inlineStr">
        <is>
          <t>ALL-TIME EXPENSES</t>
        </is>
      </c>
      <c r="B4" s="5" t="n"/>
      <c r="C4" s="48" t="inlineStr">
        <is>
          <t>AVERAGE / MONTH</t>
        </is>
      </c>
      <c r="D4" s="5" t="n"/>
      <c r="E4" s="48" t="inlineStr">
        <is>
          <t>HIGHEST MONTH</t>
        </is>
      </c>
      <c r="F4" s="5" t="n"/>
      <c r="G4" s="48" t="inlineStr">
        <is>
          <t>LOWEST MONTH</t>
        </is>
      </c>
      <c r="H4" s="5" t="n"/>
    </row>
    <row r="5" ht="19" customHeight="1">
      <c r="A5" s="49">
        <f>SUM('Monthly Expenses'!$B$9:$F$20)</f>
        <v/>
      </c>
      <c r="B5" s="8" t="n"/>
      <c r="C5" s="49">
        <f>IFERROR(SUM('Monthly Expenses'!$B$9:$F$20)/COUNTIF($G$9:$G$20,"&gt;0"),0)</f>
        <v/>
      </c>
      <c r="D5" s="8" t="n"/>
      <c r="E5" s="50">
        <f>IFERROR(INDEX($A$9:$A$20,MATCH(MAX($G$9:$G$20),$G$9:$G$20,0)),"")</f>
        <v/>
      </c>
      <c r="F5" s="8" t="n"/>
      <c r="G5" s="50">
        <f>IFERROR(INDEX($A$9:$A$20,MATCH(_xlfn.MINIFS($G$9:$G$20,$G$9:$G$20,"&gt;0"),$G$9:$G$20,0)),"")</f>
        <v/>
      </c>
      <c r="H5" s="8" t="n"/>
    </row>
    <row r="6" ht="19" customHeight="1">
      <c r="A6" s="51" t="inlineStr"/>
      <c r="B6" s="13" t="n"/>
      <c r="C6" s="51" t="inlineStr">
        <is>
          <t>Months with expenses</t>
        </is>
      </c>
      <c r="D6" s="13" t="n"/>
      <c r="E6" s="52">
        <f>IFERROR(MAX($G$9:$G$20),0)</f>
        <v/>
      </c>
      <c r="F6" s="13" t="n"/>
      <c r="G6" s="52">
        <f>IFERROR(_xlfn.MINIFS($G$9:$G$20,$G$9:$G$20,"&gt;0"),0)</f>
        <v/>
      </c>
      <c r="H6" s="13" t="n"/>
    </row>
    <row r="8" ht="30" customHeight="1">
      <c r="A8" s="53" t="inlineStr">
        <is>
          <t>Month</t>
        </is>
      </c>
      <c r="B8" s="54" t="inlineStr">
        <is>
          <t>Inventory (COGS)</t>
        </is>
      </c>
      <c r="C8" s="55" t="inlineStr">
        <is>
          <t>Packaging &amp; Shipping</t>
        </is>
      </c>
      <c r="D8" s="56" t="inlineStr">
        <is>
          <t>Software &amp; Technology</t>
        </is>
      </c>
      <c r="E8" s="57" t="inlineStr">
        <is>
          <t>Marketing &amp; Advertising</t>
        </is>
      </c>
      <c r="F8" s="58" t="inlineStr">
        <is>
          <t>Office &amp; Supplies</t>
        </is>
      </c>
      <c r="G8" s="59" t="inlineStr">
        <is>
          <t>Total</t>
        </is>
      </c>
      <c r="H8" s="60" t="inlineStr">
        <is>
          <t>% Change</t>
        </is>
      </c>
    </row>
    <row r="9" ht="19" customHeight="1">
      <c r="A9" s="61" t="inlineStr">
        <is>
          <t>Jan 2026</t>
        </is>
      </c>
      <c r="B9" s="62" t="n">
        <v>1242</v>
      </c>
      <c r="C9" s="62" t="n">
        <v>131.07</v>
      </c>
      <c r="D9" s="62" t="n">
        <v>191</v>
      </c>
      <c r="E9" s="62" t="n"/>
      <c r="F9" s="62" t="n"/>
      <c r="G9" s="63">
        <f>IF(SUM(B9:F9)=0,"",SUM(B9:F9))</f>
        <v/>
      </c>
      <c r="H9" s="64" t="inlineStr"/>
    </row>
    <row r="10" ht="19" customHeight="1">
      <c r="A10" s="61" t="inlineStr">
        <is>
          <t>Feb 2026</t>
        </is>
      </c>
      <c r="B10" s="62" t="n"/>
      <c r="C10" s="62" t="n">
        <v>329.92</v>
      </c>
      <c r="D10" s="62" t="n">
        <v>191</v>
      </c>
      <c r="E10" s="62" t="n">
        <v>30</v>
      </c>
      <c r="F10" s="62" t="n"/>
      <c r="G10" s="63">
        <f>IF(SUM(B10:F10)=0,"",SUM(B10:F10))</f>
        <v/>
      </c>
      <c r="H10" s="65">
        <f>IF(OR(N(G9)=0,N(G10)=0),"",(G10-G9)/G9)</f>
        <v/>
      </c>
    </row>
    <row r="11" ht="19" customHeight="1">
      <c r="A11" s="61" t="inlineStr">
        <is>
          <t>Mar 2026</t>
        </is>
      </c>
      <c r="B11" s="62" t="n">
        <v>1801</v>
      </c>
      <c r="C11" s="62" t="n">
        <v>97.75</v>
      </c>
      <c r="D11" s="62" t="n">
        <v>191</v>
      </c>
      <c r="E11" s="62" t="n">
        <v>95</v>
      </c>
      <c r="F11" s="62" t="n"/>
      <c r="G11" s="63">
        <f>IF(SUM(B11:F11)=0,"",SUM(B11:F11))</f>
        <v/>
      </c>
      <c r="H11" s="65">
        <f>IF(OR(N(G10)=0,N(G11)=0),"",(G11-G10)/G10)</f>
        <v/>
      </c>
    </row>
    <row r="12" ht="19" customHeight="1">
      <c r="A12" s="61" t="inlineStr">
        <is>
          <t>Apr 2026</t>
        </is>
      </c>
      <c r="B12" s="62" t="n">
        <v>2111</v>
      </c>
      <c r="C12" s="62" t="n">
        <v>57.56</v>
      </c>
      <c r="D12" s="62" t="n">
        <v>191</v>
      </c>
      <c r="E12" s="62" t="n">
        <v>348</v>
      </c>
      <c r="F12" s="62" t="n"/>
      <c r="G12" s="63">
        <f>IF(SUM(B12:F12)=0,"",SUM(B12:F12))</f>
        <v/>
      </c>
      <c r="H12" s="65">
        <f>IF(OR(N(G11)=0,N(G12)=0),"",(G12-G11)/G11)</f>
        <v/>
      </c>
    </row>
    <row r="13" ht="19" customHeight="1">
      <c r="A13" s="61" t="inlineStr">
        <is>
          <t>May 2026</t>
        </is>
      </c>
      <c r="B13" s="62" t="n">
        <v>2803</v>
      </c>
      <c r="C13" s="62" t="n">
        <v>570.54</v>
      </c>
      <c r="D13" s="62" t="n">
        <v>191</v>
      </c>
      <c r="E13" s="62" t="n">
        <v>166</v>
      </c>
      <c r="F13" s="62" t="n"/>
      <c r="G13" s="63">
        <f>IF(SUM(B13:F13)=0,"",SUM(B13:F13))</f>
        <v/>
      </c>
      <c r="H13" s="65">
        <f>IF(OR(N(G12)=0,N(G13)=0),"",(G13-G12)/G12)</f>
        <v/>
      </c>
    </row>
    <row r="14" ht="19" customHeight="1">
      <c r="A14" s="61" t="inlineStr">
        <is>
          <t>Jun 2026</t>
        </is>
      </c>
      <c r="B14" s="62" t="n">
        <v>4437.7</v>
      </c>
      <c r="C14" s="62" t="n">
        <v>623.54</v>
      </c>
      <c r="D14" s="62" t="n">
        <v>191</v>
      </c>
      <c r="E14" s="62" t="n">
        <v>126.93</v>
      </c>
      <c r="F14" s="62" t="n">
        <v>71.95999999999999</v>
      </c>
      <c r="G14" s="63">
        <f>IF(SUM(B14:F14)=0,"",SUM(B14:F14))</f>
        <v/>
      </c>
      <c r="H14" s="65">
        <f>IF(OR(N(G13)=0,N(G14)=0),"",(G14-G13)/G13)</f>
        <v/>
      </c>
    </row>
    <row r="15" ht="19" customHeight="1">
      <c r="A15" s="61" t="inlineStr">
        <is>
          <t>Jul 2026</t>
        </is>
      </c>
      <c r="B15" s="62" t="n">
        <v>2812</v>
      </c>
      <c r="C15" s="62" t="n">
        <v>725.1900000000001</v>
      </c>
      <c r="D15" s="62" t="n">
        <v>191</v>
      </c>
      <c r="E15" s="62" t="n"/>
      <c r="F15" s="62" t="n"/>
      <c r="G15" s="63">
        <f>IF(SUM(B15:F15)=0,"",SUM(B15:F15))</f>
        <v/>
      </c>
      <c r="H15" s="65">
        <f>IF(OR(N(G14)=0,N(G15)=0),"",(G15-G14)/G14)</f>
        <v/>
      </c>
    </row>
    <row r="16" ht="19" customHeight="1">
      <c r="A16" s="61" t="inlineStr">
        <is>
          <t>Aug 2026</t>
        </is>
      </c>
      <c r="B16" s="62" t="n"/>
      <c r="C16" s="62" t="n">
        <v>69.68000000000001</v>
      </c>
      <c r="D16" s="62" t="n">
        <v>191</v>
      </c>
      <c r="E16" s="62" t="n"/>
      <c r="F16" s="62" t="n"/>
      <c r="G16" s="63">
        <f>IF(SUM(B16:F16)=0,"",SUM(B16:F16))</f>
        <v/>
      </c>
      <c r="H16" s="65">
        <f>IF(OR(N(G15)=0,N(G16)=0),"",(G16-G15)/G15)</f>
        <v/>
      </c>
    </row>
    <row r="17" ht="19" customHeight="1">
      <c r="A17" s="61" t="inlineStr">
        <is>
          <t>Sep 2026</t>
        </is>
      </c>
      <c r="B17" s="62" t="n"/>
      <c r="C17" s="62" t="n"/>
      <c r="D17" s="62" t="n"/>
      <c r="E17" s="62" t="n"/>
      <c r="F17" s="62" t="n"/>
      <c r="G17" s="63">
        <f>IF(SUM(B17:F17)=0,"",SUM(B17:F17))</f>
        <v/>
      </c>
      <c r="H17" s="65">
        <f>IF(OR(N(G16)=0,N(G17)=0),"",(G17-G16)/G16)</f>
        <v/>
      </c>
    </row>
    <row r="18" ht="19" customHeight="1">
      <c r="A18" s="61" t="inlineStr">
        <is>
          <t>Oct 2026</t>
        </is>
      </c>
      <c r="B18" s="62" t="n"/>
      <c r="C18" s="62" t="n"/>
      <c r="D18" s="62" t="n"/>
      <c r="E18" s="62" t="n"/>
      <c r="F18" s="62" t="n"/>
      <c r="G18" s="63">
        <f>IF(SUM(B18:F18)=0,"",SUM(B18:F18))</f>
        <v/>
      </c>
      <c r="H18" s="65">
        <f>IF(OR(N(G17)=0,N(G18)=0),"",(G18-G17)/G17)</f>
        <v/>
      </c>
    </row>
    <row r="19" ht="19" customHeight="1">
      <c r="A19" s="61" t="inlineStr">
        <is>
          <t>Nov 2026</t>
        </is>
      </c>
      <c r="B19" s="62" t="n"/>
      <c r="C19" s="62" t="n"/>
      <c r="D19" s="62" t="n"/>
      <c r="E19" s="62" t="n"/>
      <c r="F19" s="62" t="n"/>
      <c r="G19" s="63">
        <f>IF(SUM(B19:F19)=0,"",SUM(B19:F19))</f>
        <v/>
      </c>
      <c r="H19" s="65">
        <f>IF(OR(N(G18)=0,N(G19)=0),"",(G19-G18)/G18)</f>
        <v/>
      </c>
    </row>
    <row r="20" ht="19" customHeight="1">
      <c r="A20" s="61" t="inlineStr">
        <is>
          <t>Dec 2026</t>
        </is>
      </c>
      <c r="B20" s="62" t="n"/>
      <c r="C20" s="62" t="n"/>
      <c r="D20" s="62" t="n"/>
      <c r="E20" s="62" t="n"/>
      <c r="F20" s="62" t="n"/>
      <c r="G20" s="63">
        <f>IF(SUM(B20:F20)=0,"",SUM(B20:F20))</f>
        <v/>
      </c>
      <c r="H20" s="65">
        <f>IF(OR(N(G19)=0,N(G20)=0),"",(G20-G19)/G19)</f>
        <v/>
      </c>
    </row>
    <row r="21" ht="22" customHeight="1">
      <c r="A21" s="66" t="inlineStr">
        <is>
          <t>Total 2026</t>
        </is>
      </c>
      <c r="B21" s="67">
        <f>SUM(B9:B20)</f>
        <v/>
      </c>
      <c r="C21" s="67">
        <f>SUM(C9:C20)</f>
        <v/>
      </c>
      <c r="D21" s="67">
        <f>SUM(D9:D20)</f>
        <v/>
      </c>
      <c r="E21" s="67">
        <f>SUM(E9:E20)</f>
        <v/>
      </c>
      <c r="F21" s="67">
        <f>SUM(F9:F20)</f>
        <v/>
      </c>
      <c r="G21" s="68">
        <f>SUM(G9:G20)</f>
        <v/>
      </c>
      <c r="H21" s="45" t="inlineStr"/>
    </row>
    <row r="23">
      <c r="B23" s="69" t="n"/>
      <c r="C23" s="70">
        <f> shaded cells are yours to edit — type each month's category totals here</f>
        <v/>
      </c>
    </row>
  </sheetData>
  <mergeCells count="14">
    <mergeCell ref="A4:B4"/>
    <mergeCell ref="G4:H4"/>
    <mergeCell ref="E4:F4"/>
    <mergeCell ref="E6:F6"/>
    <mergeCell ref="C6:D6"/>
    <mergeCell ref="C23:F23"/>
    <mergeCell ref="A2:H2"/>
    <mergeCell ref="C5:D5"/>
    <mergeCell ref="A5:B5"/>
    <mergeCell ref="G5:H5"/>
    <mergeCell ref="E5:F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52" customWidth="1" min="3" max="3"/>
  </cols>
  <sheetData>
    <row r="1" ht="26" customHeight="1">
      <c r="A1" s="46" t="inlineStr">
        <is>
          <t>CATEGORIES</t>
        </is>
      </c>
      <c r="B1" s="71" t="inlineStr">
        <is>
          <t>COLOR</t>
        </is>
      </c>
    </row>
    <row r="2" ht="22" customHeight="1">
      <c r="A2" s="72" t="inlineStr">
        <is>
          <t>Inventory (COGS)</t>
        </is>
      </c>
      <c r="B2" s="73" t="n"/>
    </row>
    <row r="3" ht="22" customHeight="1">
      <c r="A3" s="74" t="inlineStr">
        <is>
          <t>Packaging &amp; Shipping</t>
        </is>
      </c>
      <c r="B3" s="75" t="n"/>
    </row>
    <row r="4" ht="22" customHeight="1">
      <c r="A4" s="76" t="inlineStr">
        <is>
          <t>Software &amp; Technology</t>
        </is>
      </c>
      <c r="B4" s="77" t="n"/>
    </row>
    <row r="5" ht="22" customHeight="1">
      <c r="A5" s="78" t="inlineStr">
        <is>
          <t>Marketing &amp; Advertising</t>
        </is>
      </c>
      <c r="B5" s="79" t="n"/>
    </row>
    <row r="6" ht="22" customHeight="1">
      <c r="A6" s="80" t="inlineStr">
        <is>
          <t>Office &amp; Supplies</t>
        </is>
      </c>
      <c r="B6" s="81" t="n"/>
    </row>
    <row r="8">
      <c r="A8" s="82" t="inlineStr">
        <is>
          <t>How this workbook uses these categories:
These five categories are the columns of the Monthly Expenses tab and drive every total and chart on the Dashboard.  (Named range: "ExpenseCategories".)
To rename a category, edit it here and update the matching column header on the Monthly Expenses tab and the label on the Dashboard.
To add a category, add it to the bottom of this list, then insert a matching column on the Monthly Expenses tab and extend the Dashboard chart/legend so the new category is included everywhere.
Do not add payment methods here.</t>
        </is>
      </c>
      <c r="B8" s="83" t="n"/>
      <c r="C8" s="84" t="n"/>
    </row>
    <row r="9">
      <c r="A9" s="85" t="n"/>
      <c r="C9" s="64" t="n"/>
    </row>
    <row r="10">
      <c r="A10" s="85" t="n"/>
      <c r="C10" s="64" t="n"/>
    </row>
    <row r="11">
      <c r="A11" s="85" t="n"/>
      <c r="C11" s="64" t="n"/>
    </row>
    <row r="12">
      <c r="A12" s="85" t="n"/>
      <c r="C12" s="64" t="n"/>
    </row>
    <row r="13">
      <c r="A13" s="85" t="n"/>
      <c r="C13" s="64" t="n"/>
    </row>
    <row r="14">
      <c r="A14" s="85" t="n"/>
      <c r="C14" s="64" t="n"/>
    </row>
    <row r="15">
      <c r="A15" s="85" t="n"/>
      <c r="C15" s="64" t="n"/>
    </row>
    <row r="16">
      <c r="A16" s="86" t="n"/>
      <c r="B16" s="12" t="n"/>
      <c r="C16" s="13" t="n"/>
    </row>
  </sheetData>
  <mergeCells count="1">
    <mergeCell ref="A8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2026-08-06T22:21:02Z</dcterms:created>
  <dcterms:modified xmlns:dcterms="http://purl.org/dc/terms/" xmlns:xsi="http://www.w3.org/2001/XMLSchema-instance" xsi:type="dcterms:W3CDTF">2026-08-06T22:21:02Z</dcterms:modified>
</cp:coreProperties>
</file>