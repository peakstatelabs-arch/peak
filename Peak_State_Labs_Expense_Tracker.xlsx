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Expense Tracker" sheetId="2" state="visible" r:id="rId2"/>
    <sheet name="Monthly Summary" sheetId="3" state="visible" r:id="rId3"/>
    <sheet name="Categories" sheetId="4" state="visible" r:id="rId4"/>
  </sheets>
  <definedNames>
    <definedName name="ExpenseCategories">Categories!$A$2:$A$6</definedName>
    <definedName name="_xlnm.Print_Area" localSheetId="0">'Dashboard'!$A$1:$O$41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"/>
    <numFmt numFmtId="165" formatCode="m/d/yyyy"/>
    <numFmt numFmtId="166" formatCode="$#,##0.00"/>
    <numFmt numFmtId="167" formatCode="$#,##0"/>
    <numFmt numFmtId="168" formatCode="$#,##0.00;($#,##0.00);&quot;&quot;"/>
    <numFmt numFmtId="169" formatCode="0.0%;(0.0%);&quot;&quot;"/>
    <numFmt numFmtId="170" formatCode="&quot;Top category total  &quot;$#,##0"/>
    <numFmt numFmtId="171" formatCode="0.0%"/>
  </numFmts>
  <fonts count="29">
    <font>
      <name val="Calibri"/>
      <family val="2"/>
      <color theme="1"/>
      <sz val="11"/>
      <scheme val="minor"/>
    </font>
    <font>
      <name val="Arial"/>
      <b val="1"/>
      <color rgb="00155090"/>
      <sz val="16"/>
    </font>
    <font>
      <name val="Arial"/>
      <b val="1"/>
      <color rgb="00137A45"/>
      <sz val="11"/>
    </font>
    <font>
      <name val="Arial"/>
      <b val="1"/>
      <color rgb="001E5FA8"/>
      <sz val="11"/>
    </font>
    <font>
      <name val="Arial"/>
      <b val="1"/>
      <color rgb="006B3FA0"/>
      <sz val="11"/>
    </font>
    <font>
      <name val="Arial"/>
      <b val="1"/>
      <color rgb="00B5651D"/>
      <sz val="11"/>
    </font>
    <font>
      <name val="Arial"/>
      <b val="1"/>
      <color rgb="008A6D1B"/>
      <sz val="11"/>
    </font>
    <font>
      <name val="Arial"/>
      <b val="1"/>
      <color rgb="006B7280"/>
      <sz val="9"/>
    </font>
    <font>
      <name val="Arial"/>
      <color rgb="006B7280"/>
      <sz val="10"/>
    </font>
    <font>
      <name val="Arial"/>
      <b val="1"/>
      <color rgb="008A6D1B"/>
      <sz val="10"/>
    </font>
    <font>
      <name val="Arial"/>
      <b val="1"/>
      <color rgb="00FFFFFF"/>
      <sz val="10"/>
    </font>
    <font>
      <name val="Arial"/>
      <b val="1"/>
      <color rgb="00B5651D"/>
      <sz val="9"/>
    </font>
    <font>
      <name val="Arial"/>
      <b val="1"/>
      <color rgb="00FFFFFF"/>
      <sz val="8.5"/>
    </font>
    <font>
      <name val="Arial"/>
      <b val="1"/>
      <color rgb="00155090"/>
      <sz val="15"/>
    </font>
    <font>
      <name val="Arial"/>
      <color rgb="006B7280"/>
      <sz val="9"/>
    </font>
    <font>
      <name val="Arial"/>
      <b val="1"/>
      <color rgb="00155090"/>
      <sz val="12"/>
    </font>
    <font>
      <name val="Arial"/>
      <b val="1"/>
      <color rgb="00FFFFFF"/>
      <sz val="9.5"/>
    </font>
    <font>
      <name val="Arial"/>
      <b val="1"/>
      <color rgb="00111827"/>
      <sz val="10"/>
    </font>
    <font>
      <name val="Arial"/>
      <color rgb="00111827"/>
      <sz val="10"/>
    </font>
    <font>
      <name val="Arial"/>
      <b val="1"/>
      <color rgb="00155090"/>
      <sz val="10"/>
    </font>
    <font>
      <name val="Arial"/>
      <b val="1"/>
      <color rgb="0078DCE5"/>
      <sz val="10"/>
    </font>
    <font>
      <name val="Arial"/>
      <b val="1"/>
      <color rgb="00155090"/>
      <sz val="18"/>
    </font>
    <font>
      <name val="Arial"/>
      <color rgb="006B7280"/>
      <sz val="11"/>
    </font>
    <font>
      <name val="Arial"/>
      <b val="1"/>
      <color rgb="00155090"/>
      <sz val="17"/>
    </font>
    <font>
      <name val="Arial"/>
      <b val="1"/>
      <color rgb="001A6AB8"/>
      <sz val="10"/>
    </font>
    <font>
      <name val="Arial"/>
      <b val="1"/>
      <color rgb="00155090"/>
      <sz val="13"/>
    </font>
    <font>
      <name val="Arial"/>
      <b val="1"/>
      <color rgb="006B7280"/>
      <sz val="10"/>
    </font>
    <font>
      <name val="Arial"/>
      <color rgb="00111827"/>
      <sz val="9"/>
    </font>
    <font>
      <name val="Arial"/>
      <b val="1"/>
      <color rgb="00111827"/>
      <sz val="9"/>
    </font>
  </fonts>
  <fills count="17">
    <fill>
      <patternFill/>
    </fill>
    <fill>
      <patternFill patternType="gray125"/>
    </fill>
    <fill>
      <patternFill patternType="solid">
        <fgColor rgb="00D9F2E4"/>
      </patternFill>
    </fill>
    <fill>
      <patternFill patternType="solid">
        <fgColor rgb="002E9E5B"/>
      </patternFill>
    </fill>
    <fill>
      <patternFill patternType="solid">
        <fgColor rgb="00DBEAFE"/>
      </patternFill>
    </fill>
    <fill>
      <patternFill patternType="solid">
        <fgColor rgb="003B82C4"/>
      </patternFill>
    </fill>
    <fill>
      <patternFill patternType="solid">
        <fgColor rgb="00EADCF8"/>
      </patternFill>
    </fill>
    <fill>
      <patternFill patternType="solid">
        <fgColor rgb="008054C7"/>
      </patternFill>
    </fill>
    <fill>
      <patternFill patternType="solid">
        <fgColor rgb="00FDE7D3"/>
      </patternFill>
    </fill>
    <fill>
      <patternFill patternType="solid">
        <fgColor rgb="00E38A3E"/>
      </patternFill>
    </fill>
    <fill>
      <patternFill patternType="solid">
        <fgColor rgb="00FBF3D0"/>
      </patternFill>
    </fill>
    <fill>
      <patternFill patternType="solid">
        <fgColor rgb="00E9C64B"/>
      </patternFill>
    </fill>
    <fill>
      <patternFill patternType="solid">
        <fgColor rgb="00F5F8FA"/>
      </patternFill>
    </fill>
    <fill>
      <patternFill patternType="solid">
        <fgColor rgb="00111827"/>
      </patternFill>
    </fill>
    <fill>
      <patternFill patternType="solid">
        <fgColor rgb="00FFFFFF"/>
      </patternFill>
    </fill>
    <fill>
      <patternFill patternType="solid">
        <fgColor rgb="00F4F8FB"/>
      </patternFill>
    </fill>
    <fill>
      <patternFill patternType="solid">
        <fgColor rgb="00EAF3FB"/>
      </patternFill>
    </fill>
  </fills>
  <borders count="28">
    <border>
      <left/>
      <right/>
      <top/>
      <bottom/>
      <diagonal/>
    </border>
    <border>
      <left style="thin">
        <color rgb="00E2E6EB"/>
      </left>
      <right style="thin">
        <color rgb="00E2E6EB"/>
      </right>
      <top style="thin">
        <color rgb="00E2E6EB"/>
      </top>
      <bottom style="thin">
        <color rgb="00E2E6EB"/>
      </bottom>
    </border>
    <border>
      <left/>
      <right/>
      <top style="thin">
        <color rgb="00E2E6EB"/>
      </top>
      <bottom/>
    </border>
    <border>
      <left/>
      <right/>
      <top/>
      <bottom style="thin">
        <color rgb="00E2E6EB"/>
      </bottom>
    </border>
    <border>
      <left style="thin">
        <color rgb="00E2E6EB"/>
      </left>
      <right/>
      <top style="thin">
        <color rgb="00E2E6EB"/>
      </top>
      <bottom/>
    </border>
    <border>
      <left/>
      <right style="thin">
        <color rgb="00E2E6EB"/>
      </right>
      <top style="thin">
        <color rgb="00E2E6EB"/>
      </top>
      <bottom/>
    </border>
    <border>
      <left style="thin">
        <color rgb="00E2E6EB"/>
      </left>
      <right/>
      <top/>
      <bottom/>
    </border>
    <border>
      <left/>
      <right style="thin">
        <color rgb="00E2E6EB"/>
      </right>
      <top/>
      <bottom/>
    </border>
    <border>
      <left style="thin">
        <color rgb="00E2E6EB"/>
      </left>
      <right/>
      <top/>
      <bottom style="thin">
        <color rgb="00E2E6EB"/>
      </bottom>
    </border>
    <border>
      <left/>
      <right style="thin">
        <color rgb="00E2E6EB"/>
      </right>
      <top/>
      <bottom style="thin">
        <color rgb="00E2E6EB"/>
      </bottom>
    </border>
    <border>
      <left style="thin">
        <color rgb="00E2E6EB"/>
      </left>
      <top style="thin">
        <color rgb="00E2E6EB"/>
      </top>
    </border>
    <border>
      <right style="thin">
        <color rgb="00E2E6EB"/>
      </right>
      <top style="thin">
        <color rgb="00E2E6EB"/>
      </top>
    </border>
    <border>
      <left style="thin">
        <color rgb="00E2E6EB"/>
      </left>
      <bottom style="thin">
        <color rgb="00E2E6EB"/>
      </bottom>
    </border>
    <border>
      <right style="thin">
        <color rgb="00E2E6EB"/>
      </right>
      <bottom style="thin">
        <color rgb="00E2E6EB"/>
      </bottom>
    </border>
    <border>
      <left/>
      <right/>
      <top style="thin">
        <color rgb="00EAD9A0"/>
      </top>
      <bottom/>
    </border>
    <border>
      <left/>
      <right/>
      <top style="thin">
        <color rgb="00EAD9A0"/>
      </top>
      <bottom style="thin">
        <color rgb="00EAD9A0"/>
      </bottom>
    </border>
    <border>
      <left style="thin">
        <color rgb="00EAD9A0"/>
      </left>
      <right/>
      <top style="thin">
        <color rgb="00EAD9A0"/>
      </top>
      <bottom style="thin">
        <color rgb="00EAD9A0"/>
      </bottom>
    </border>
    <border>
      <left/>
      <right style="thin">
        <color rgb="00EAD9A0"/>
      </right>
      <top style="thin">
        <color rgb="00EAD9A0"/>
      </top>
      <bottom style="thin">
        <color rgb="00EAD9A0"/>
      </bottom>
    </border>
    <border>
      <left style="thin">
        <color rgb="00EAD9A0"/>
      </left>
      <top style="thin">
        <color rgb="00EAD9A0"/>
      </top>
    </border>
    <border>
      <right style="thin">
        <color rgb="00EAD9A0"/>
      </right>
      <top style="thin">
        <color rgb="00EAD9A0"/>
      </top>
    </border>
    <border>
      <left style="thin">
        <color rgb="00EAD9A0"/>
      </left>
      <bottom style="thin">
        <color rgb="00EAD9A0"/>
      </bottom>
    </border>
    <border>
      <right style="thin">
        <color rgb="00EAD9A0"/>
      </right>
      <bottom style="thin">
        <color rgb="00EAD9A0"/>
      </bottom>
    </border>
    <border>
      <bottom style="medium">
        <color rgb="00155090"/>
      </bottom>
    </border>
    <border>
      <top style="thin">
        <color rgb="00E2E6EB"/>
      </top>
      <bottom style="medium">
        <color rgb="00155090"/>
      </bottom>
    </border>
    <border>
      <left style="thin">
        <color rgb="00E2E6EB"/>
      </left>
      <top style="thin">
        <color rgb="00E2E6EB"/>
      </top>
      <bottom style="medium">
        <color rgb="00155090"/>
      </bottom>
    </border>
    <border>
      <right style="thin">
        <color rgb="00E2E6EB"/>
      </right>
      <top style="thin">
        <color rgb="00E2E6EB"/>
      </top>
      <bottom style="medium">
        <color rgb="00155090"/>
      </bottom>
    </border>
    <border>
      <left style="thin">
        <color rgb="004FC9D4"/>
      </left>
      <right style="thin">
        <color rgb="004FC9D4"/>
      </right>
      <top style="thin">
        <color rgb="004FC9D4"/>
      </top>
      <bottom style="thin">
        <color rgb="004FC9D4"/>
      </bottom>
    </border>
    <border>
      <top style="thin">
        <color rgb="00E2E6EB"/>
      </top>
    </border>
  </borders>
  <cellStyleXfs count="1">
    <xf numFmtId="0" fontId="0" fillId="0" borderId="0"/>
  </cellStyleXfs>
  <cellXfs count="99">
    <xf numFmtId="0" fontId="0" fillId="0" borderId="0" pivotButton="0" quotePrefix="0" xfId="0"/>
    <xf numFmtId="0" fontId="21" fillId="0" borderId="0" applyAlignment="1" pivotButton="0" quotePrefix="0" xfId="0">
      <alignment horizontal="left" vertical="bottom"/>
    </xf>
    <xf numFmtId="0" fontId="22" fillId="0" borderId="0" applyAlignment="1" pivotButton="0" quotePrefix="0" xfId="0">
      <alignment horizontal="left" vertical="top"/>
    </xf>
    <xf numFmtId="0" fontId="12" fillId="13" borderId="10" applyAlignment="1" pivotButton="0" quotePrefix="0" xfId="0">
      <alignment horizontal="center" vertical="center"/>
    </xf>
    <xf numFmtId="0" fontId="0" fillId="13" borderId="2" pivotButton="0" quotePrefix="0" xfId="0"/>
    <xf numFmtId="0" fontId="0" fillId="13" borderId="11" pivotButton="0" quotePrefix="0" xfId="0"/>
    <xf numFmtId="166" fontId="23" fillId="14" borderId="6" applyAlignment="1" pivotButton="0" quotePrefix="0" xfId="0">
      <alignment horizontal="center" vertical="center"/>
    </xf>
    <xf numFmtId="0" fontId="0" fillId="14" borderId="0" pivotButton="0" quotePrefix="0" xfId="0"/>
    <xf numFmtId="0" fontId="0" fillId="14" borderId="7" pivotButton="0" quotePrefix="0" xfId="0"/>
    <xf numFmtId="0" fontId="25" fillId="14" borderId="6" applyAlignment="1" pivotButton="0" quotePrefix="0" xfId="0">
      <alignment horizontal="center" vertical="center"/>
    </xf>
    <xf numFmtId="0" fontId="0" fillId="14" borderId="6" pivotButton="0" quotePrefix="0" xfId="0"/>
    <xf numFmtId="0" fontId="14" fillId="14" borderId="12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3" pivotButton="0" quotePrefix="0" xfId="0"/>
    <xf numFmtId="0" fontId="24" fillId="16" borderId="26" applyAlignment="1" pivotButton="0" quotePrefix="0" xfId="0">
      <alignment horizontal="center" vertical="center"/>
    </xf>
    <xf numFmtId="170" fontId="14" fillId="14" borderId="12" applyAlignment="1" pivotButton="0" quotePrefix="0" xfId="0">
      <alignment horizontal="center" vertical="center"/>
    </xf>
    <xf numFmtId="0" fontId="10" fillId="13" borderId="0" applyAlignment="1" pivotButton="0" quotePrefix="0" xfId="0">
      <alignment horizontal="left" vertical="center" indent="1"/>
    </xf>
    <xf numFmtId="0" fontId="0" fillId="13" borderId="0" pivotButton="0" quotePrefix="0" xfId="0"/>
    <xf numFmtId="0" fontId="7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right" vertical="center"/>
    </xf>
    <xf numFmtId="0" fontId="7" fillId="0" borderId="10" applyAlignment="1" pivotButton="0" quotePrefix="0" xfId="0">
      <alignment horizontal="left" vertical="center"/>
    </xf>
    <xf numFmtId="0" fontId="0" fillId="0" borderId="2" pivotButton="0" quotePrefix="0" xfId="0"/>
    <xf numFmtId="0" fontId="7" fillId="0" borderId="2" applyAlignment="1" pivotButton="0" quotePrefix="0" xfId="0">
      <alignment horizontal="right" vertical="center"/>
    </xf>
    <xf numFmtId="0" fontId="7" fillId="0" borderId="2" applyAlignment="1" pivotButton="0" quotePrefix="0" xfId="0">
      <alignment horizontal="center" vertical="center"/>
    </xf>
    <xf numFmtId="0" fontId="0" fillId="0" borderId="11" pivotButton="0" quotePrefix="0" xfId="0"/>
    <xf numFmtId="0" fontId="18" fillId="0" borderId="0" applyAlignment="1" pivotButton="0" quotePrefix="0" xfId="0">
      <alignment horizontal="left" vertical="center"/>
    </xf>
    <xf numFmtId="167" fontId="17" fillId="0" borderId="0" applyAlignment="1" pivotButton="0" quotePrefix="0" xfId="0">
      <alignment horizontal="right" vertical="center"/>
    </xf>
    <xf numFmtId="171" fontId="8" fillId="0" borderId="0" applyAlignment="1" pivotButton="0" quotePrefix="0" xfId="0">
      <alignment horizontal="right" vertical="center"/>
    </xf>
    <xf numFmtId="0" fontId="18" fillId="0" borderId="6" applyAlignment="1" pivotButton="0" quotePrefix="0" xfId="0">
      <alignment horizontal="left" vertical="center"/>
    </xf>
    <xf numFmtId="167" fontId="19" fillId="0" borderId="0" applyAlignment="1" pivotButton="0" quotePrefix="0" xfId="0">
      <alignment horizontal="right" vertical="center"/>
    </xf>
    <xf numFmtId="0" fontId="18" fillId="0" borderId="0" applyAlignment="1" pivotButton="0" quotePrefix="0" xfId="0">
      <alignment horizontal="center" vertical="center"/>
    </xf>
    <xf numFmtId="0" fontId="0" fillId="0" borderId="7" pivotButton="0" quotePrefix="0" xfId="0"/>
    <xf numFmtId="0" fontId="18" fillId="15" borderId="6" applyAlignment="1" pivotButton="0" quotePrefix="0" xfId="0">
      <alignment horizontal="left" vertical="center"/>
    </xf>
    <xf numFmtId="0" fontId="0" fillId="15" borderId="0" pivotButton="0" quotePrefix="0" xfId="0"/>
    <xf numFmtId="167" fontId="19" fillId="15" borderId="0" applyAlignment="1" pivotButton="0" quotePrefix="0" xfId="0">
      <alignment horizontal="right" vertical="center"/>
    </xf>
    <xf numFmtId="0" fontId="18" fillId="15" borderId="0" applyAlignment="1" pivotButton="0" quotePrefix="0" xfId="0">
      <alignment horizontal="center" vertical="center"/>
    </xf>
    <xf numFmtId="0" fontId="0" fillId="15" borderId="7" pivotButton="0" quotePrefix="0" xfId="0"/>
    <xf numFmtId="0" fontId="18" fillId="0" borderId="12" applyAlignment="1" pivotButton="0" quotePrefix="0" xfId="0">
      <alignment horizontal="left" vertical="center"/>
    </xf>
    <xf numFmtId="167" fontId="19" fillId="0" borderId="3" applyAlignment="1" pivotButton="0" quotePrefix="0" xfId="0">
      <alignment horizontal="right" vertical="center"/>
    </xf>
    <xf numFmtId="0" fontId="18" fillId="0" borderId="3" applyAlignment="1" pivotButton="0" quotePrefix="0" xfId="0">
      <alignment horizontal="center" vertical="center"/>
    </xf>
    <xf numFmtId="0" fontId="17" fillId="0" borderId="27" applyAlignment="1" pivotButton="0" quotePrefix="0" xfId="0">
      <alignment horizontal="left" vertical="center"/>
    </xf>
    <xf numFmtId="167" fontId="19" fillId="0" borderId="27" applyAlignment="1" pivotButton="0" quotePrefix="0" xfId="0">
      <alignment horizontal="right" vertical="center"/>
    </xf>
    <xf numFmtId="171" fontId="26" fillId="0" borderId="27" applyAlignment="1" pivotButton="0" quotePrefix="0" xfId="0">
      <alignment horizontal="right" vertical="center"/>
    </xf>
    <xf numFmtId="0" fontId="7" fillId="0" borderId="2" applyAlignment="1" pivotButton="0" quotePrefix="0" xfId="0">
      <alignment horizontal="left" vertical="center"/>
    </xf>
    <xf numFmtId="0" fontId="7" fillId="0" borderId="11" applyAlignment="1" pivotButton="0" quotePrefix="0" xfId="0">
      <alignment horizontal="right" vertical="center"/>
    </xf>
    <xf numFmtId="165" fontId="27" fillId="0" borderId="6" applyAlignment="1" pivotButton="0" quotePrefix="0" xfId="0">
      <alignment horizontal="left" vertical="center"/>
    </xf>
    <xf numFmtId="0" fontId="27" fillId="0" borderId="0" applyAlignment="1" pivotButton="0" quotePrefix="0" xfId="0">
      <alignment horizontal="left" vertical="center"/>
    </xf>
    <xf numFmtId="167" fontId="28" fillId="0" borderId="7" applyAlignment="1" pivotButton="0" quotePrefix="0" xfId="0">
      <alignment horizontal="right" vertical="center"/>
    </xf>
    <xf numFmtId="165" fontId="27" fillId="15" borderId="6" applyAlignment="1" pivotButton="0" quotePrefix="0" xfId="0">
      <alignment horizontal="left" vertical="center"/>
    </xf>
    <xf numFmtId="0" fontId="27" fillId="15" borderId="0" applyAlignment="1" pivotButton="0" quotePrefix="0" xfId="0">
      <alignment horizontal="left" vertical="center"/>
    </xf>
    <xf numFmtId="167" fontId="28" fillId="15" borderId="7" applyAlignment="1" pivotButton="0" quotePrefix="0" xfId="0">
      <alignment horizontal="right" vertical="center"/>
    </xf>
    <xf numFmtId="165" fontId="27" fillId="15" borderId="12" applyAlignment="1" pivotButton="0" quotePrefix="0" xfId="0">
      <alignment horizontal="left" vertical="center"/>
    </xf>
    <xf numFmtId="0" fontId="27" fillId="15" borderId="3" applyAlignment="1" pivotButton="0" quotePrefix="0" xfId="0">
      <alignment horizontal="left" vertical="center"/>
    </xf>
    <xf numFmtId="0" fontId="0" fillId="15" borderId="3" pivotButton="0" quotePrefix="0" xfId="0"/>
    <xf numFmtId="167" fontId="28" fillId="15" borderId="13" applyAlignment="1" pivotButton="0" quotePrefix="0" xfId="0">
      <alignment horizontal="right" vertical="center"/>
    </xf>
    <xf numFmtId="0" fontId="9" fillId="10" borderId="20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21" pivotButton="0" quotePrefix="0" xfId="0"/>
    <xf numFmtId="0" fontId="10" fillId="13" borderId="22" applyAlignment="1" pivotButton="0" quotePrefix="0" xfId="0">
      <alignment horizontal="left" vertical="center" indent="1"/>
    </xf>
    <xf numFmtId="0" fontId="10" fillId="13" borderId="22" applyAlignment="1" pivotButton="0" quotePrefix="0" xfId="0">
      <alignment horizontal="right" vertical="center" indent="1"/>
    </xf>
    <xf numFmtId="165" fontId="0" fillId="0" borderId="0" applyAlignment="1" pivotButton="0" quotePrefix="0" xfId="0">
      <alignment horizontal="left" vertical="center" indent="1"/>
    </xf>
    <xf numFmtId="0" fontId="8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center" indent="1"/>
    </xf>
    <xf numFmtId="166" fontId="0" fillId="0" borderId="0" applyAlignment="1" pivotButton="0" quotePrefix="0" xfId="0">
      <alignment horizontal="right" vertical="center" indent="1"/>
    </xf>
    <xf numFmtId="0" fontId="11" fillId="0" borderId="0" applyAlignment="1" pivotButton="0" quotePrefix="0" xfId="0">
      <alignment horizontal="left" vertical="center" indent="1"/>
    </xf>
    <xf numFmtId="0" fontId="1" fillId="0" borderId="0" applyAlignment="1" pivotButton="0" quotePrefix="0" xfId="0">
      <alignment horizontal="left" vertical="center"/>
    </xf>
    <xf numFmtId="166" fontId="13" fillId="14" borderId="6" applyAlignment="1" pivotButton="0" quotePrefix="0" xfId="0">
      <alignment horizontal="center" vertical="center"/>
    </xf>
    <xf numFmtId="0" fontId="15" fillId="14" borderId="6" applyAlignment="1" pivotButton="0" quotePrefix="0" xfId="0">
      <alignment horizontal="center" vertical="center"/>
    </xf>
    <xf numFmtId="167" fontId="13" fillId="14" borderId="6" applyAlignment="1" pivotButton="0" quotePrefix="0" xfId="0">
      <alignment horizontal="center" vertical="center"/>
    </xf>
    <xf numFmtId="167" fontId="14" fillId="14" borderId="12" applyAlignment="1" pivotButton="0" quotePrefix="0" xfId="0">
      <alignment horizontal="center" vertical="center"/>
    </xf>
    <xf numFmtId="0" fontId="16" fillId="13" borderId="10" applyAlignment="1" pivotButton="0" quotePrefix="0" xfId="0">
      <alignment horizontal="left" vertical="center" indent="1"/>
    </xf>
    <xf numFmtId="0" fontId="16" fillId="13" borderId="23" applyAlignment="1" pivotButton="0" quotePrefix="0" xfId="0">
      <alignment horizontal="center" vertical="center" wrapText="1"/>
    </xf>
    <xf numFmtId="0" fontId="16" fillId="13" borderId="11" applyAlignment="1" pivotButton="0" quotePrefix="0" xfId="0">
      <alignment horizontal="center" vertical="center" wrapText="1"/>
    </xf>
    <xf numFmtId="0" fontId="17" fillId="0" borderId="6" applyAlignment="1" pivotButton="0" quotePrefix="0" xfId="0">
      <alignment horizontal="left" vertical="center" indent="1"/>
    </xf>
    <xf numFmtId="168" fontId="18" fillId="0" borderId="0" applyAlignment="1" pivotButton="0" quotePrefix="0" xfId="0">
      <alignment horizontal="right" vertical="center"/>
    </xf>
    <xf numFmtId="168" fontId="19" fillId="0" borderId="0" applyAlignment="1" pivotButton="0" quotePrefix="0" xfId="0">
      <alignment horizontal="right" vertical="center"/>
    </xf>
    <xf numFmtId="169" fontId="18" fillId="0" borderId="7" applyAlignment="1" pivotButton="0" quotePrefix="0" xfId="0">
      <alignment horizontal="center" vertical="center"/>
    </xf>
    <xf numFmtId="0" fontId="17" fillId="15" borderId="6" applyAlignment="1" pivotButton="0" quotePrefix="0" xfId="0">
      <alignment horizontal="left" vertical="center" indent="1"/>
    </xf>
    <xf numFmtId="168" fontId="18" fillId="15" borderId="0" applyAlignment="1" pivotButton="0" quotePrefix="0" xfId="0">
      <alignment horizontal="right" vertical="center"/>
    </xf>
    <xf numFmtId="168" fontId="19" fillId="15" borderId="0" applyAlignment="1" pivotButton="0" quotePrefix="0" xfId="0">
      <alignment horizontal="right" vertical="center"/>
    </xf>
    <xf numFmtId="169" fontId="18" fillId="15" borderId="7" applyAlignment="1" pivotButton="0" quotePrefix="0" xfId="0">
      <alignment horizontal="center" vertical="center"/>
    </xf>
    <xf numFmtId="0" fontId="10" fillId="13" borderId="12" applyAlignment="1" pivotButton="0" quotePrefix="0" xfId="0">
      <alignment horizontal="left" vertical="center" indent="1"/>
    </xf>
    <xf numFmtId="167" fontId="10" fillId="13" borderId="3" applyAlignment="1" pivotButton="0" quotePrefix="0" xfId="0">
      <alignment horizontal="right" vertical="center"/>
    </xf>
    <xf numFmtId="167" fontId="20" fillId="13" borderId="3" applyAlignment="1" pivotButton="0" quotePrefix="0" xfId="0">
      <alignment horizontal="right" vertical="center"/>
    </xf>
    <xf numFmtId="0" fontId="0" fillId="13" borderId="13" pivotButton="0" quotePrefix="0" xfId="0"/>
    <xf numFmtId="0" fontId="7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0" fillId="3" borderId="1" pivotButton="0" quotePrefix="0" xfId="0"/>
    <xf numFmtId="0" fontId="3" fillId="4" borderId="1" applyAlignment="1" pivotButton="0" quotePrefix="0" xfId="0">
      <alignment horizontal="left" vertical="center"/>
    </xf>
    <xf numFmtId="0" fontId="0" fillId="5" borderId="1" pivotButton="0" quotePrefix="0" xfId="0"/>
    <xf numFmtId="0" fontId="4" fillId="6" borderId="1" applyAlignment="1" pivotButton="0" quotePrefix="0" xfId="0">
      <alignment horizontal="left" vertical="center"/>
    </xf>
    <xf numFmtId="0" fontId="0" fillId="7" borderId="1" pivotButton="0" quotePrefix="0" xfId="0"/>
    <xf numFmtId="0" fontId="5" fillId="8" borderId="1" applyAlignment="1" pivotButton="0" quotePrefix="0" xfId="0">
      <alignment horizontal="left" vertical="center"/>
    </xf>
    <xf numFmtId="0" fontId="0" fillId="9" borderId="1" pivotButton="0" quotePrefix="0" xfId="0"/>
    <xf numFmtId="0" fontId="6" fillId="10" borderId="1" applyAlignment="1" pivotButton="0" quotePrefix="0" xfId="0">
      <alignment horizontal="left" vertical="center"/>
    </xf>
    <xf numFmtId="0" fontId="0" fillId="11" borderId="1" pivotButton="0" quotePrefix="0" xfId="0"/>
    <xf numFmtId="0" fontId="8" fillId="12" borderId="10" applyAlignment="1" pivotButton="0" quotePrefix="0" xfId="0">
      <alignment horizontal="left" vertical="top" wrapText="1"/>
    </xf>
    <xf numFmtId="0" fontId="0" fillId="0" borderId="6" pivotButton="0" quotePrefix="0" xfId="0"/>
    <xf numFmtId="0" fontId="0" fillId="0" borderId="12" pivotButton="0" quotePrefix="0" xfId="0"/>
  </cellXfs>
  <cellStyles count="1">
    <cellStyle name="Normal" xfId="0" builtinId="0" hidden="0"/>
  </cellStyles>
  <dxfs count="5">
    <dxf>
      <font>
        <name val="Arial"/>
        <b val="1"/>
        <color rgb="00137A45"/>
        <sz val="10"/>
      </font>
      <fill>
        <patternFill patternType="solid">
          <fgColor rgb="00D9F2E4"/>
        </patternFill>
      </fill>
    </dxf>
    <dxf>
      <font>
        <name val="Arial"/>
        <b val="1"/>
        <color rgb="001E5FA8"/>
        <sz val="10"/>
      </font>
      <fill>
        <patternFill patternType="solid">
          <fgColor rgb="00DBEAFE"/>
        </patternFill>
      </fill>
    </dxf>
    <dxf>
      <font>
        <name val="Arial"/>
        <b val="1"/>
        <color rgb="006B3FA0"/>
        <sz val="10"/>
      </font>
      <fill>
        <patternFill patternType="solid">
          <fgColor rgb="00EADCF8"/>
        </patternFill>
      </fill>
    </dxf>
    <dxf>
      <font>
        <name val="Arial"/>
        <b val="1"/>
        <color rgb="00B5651D"/>
        <sz val="10"/>
      </font>
      <fill>
        <patternFill patternType="solid">
          <fgColor rgb="00FDE7D3"/>
        </patternFill>
      </fill>
    </dxf>
    <dxf>
      <font>
        <name val="Arial"/>
        <b val="1"/>
        <color rgb="008A6D1B"/>
        <sz val="10"/>
      </font>
      <fill>
        <patternFill patternType="solid">
          <fgColor rgb="00FBF3D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plotArea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2E9E5B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>
                <a:srgbClr val="3B82C4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>
                <a:srgbClr val="8054C7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3"/>
            <spPr>
              <a:solidFill>
                <a:srgbClr val="E38A3E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4"/>
            <spPr>
              <a:solidFill>
                <a:srgbClr val="E9C64B"/>
              </a:solidFill>
              <a:ln>
                <a:solidFill>
                  <a:srgbClr val="FFFFFF"/>
                </a:solidFill>
                <a:prstDash val="solid"/>
              </a:ln>
            </spPr>
          </dPt>
          <cat>
            <numRef>
              <f>'Dashboard'!$E$14:$E$18</f>
            </numRef>
          </cat>
          <val>
            <numRef>
              <f>'Dashboard'!$F$14:$F$18</f>
            </numRef>
          </val>
        </ser>
        <dLbls>
          <numFmt formatCode="0%"/>
          <showPercent val="1"/>
        </dLbls>
        <firstSliceAng val="0"/>
      </pieChart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'Monthly Summary'!G11</f>
            </strRef>
          </tx>
          <spPr>
            <a:solidFill>
              <a:srgbClr val="155090"/>
            </a:solidFill>
            <a:ln>
              <a:prstDash val="solid"/>
            </a:ln>
          </spPr>
          <cat>
            <numRef>
              <f>'Monthly Summary'!$A$12:$A$35</f>
            </numRef>
          </cat>
          <val>
            <numRef>
              <f>'Monthly Summary'!$G$12:$G$35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$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image" Target="/xl/media/image1.png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13</row>
      <rowOff>0</rowOff>
    </from>
    <ext cx="2592000" cy="2015999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21</row>
      <rowOff>0</rowOff>
    </from>
    <ext cx="5580000" cy="2304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1</row>
      <rowOff>0</rowOff>
    </from>
    <ext cx="438150" cy="4381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ExpenseTable" displayName="ExpenseTable" ref="A2:H1002" headerRowCount="1">
  <autoFilter ref="A2:H1002"/>
  <tableColumns count="8">
    <tableColumn id="1" name="Date"/>
    <tableColumn id="2" name="Month"/>
    <tableColumn id="3" name="Vendor"/>
    <tableColumn id="4" name="Description"/>
    <tableColumn id="5" name="Category"/>
    <tableColumn id="6" name="Payment Method"/>
    <tableColumn id="7" name="Amount"/>
    <tableColumn id="8" name="Not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N31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2.5" customWidth="1" min="8" max="8"/>
    <col width="12" customWidth="1" min="9" max="9"/>
    <col width="15" customWidth="1" min="10" max="10"/>
    <col width="9" customWidth="1" min="11" max="11"/>
    <col width="14" customWidth="1" min="12" max="12"/>
    <col width="9" customWidth="1" min="13" max="13"/>
    <col width="12" customWidth="1" min="14" max="14"/>
    <col width="2.5" customWidth="1" min="15" max="15"/>
  </cols>
  <sheetData>
    <row r="2" ht="24" customHeight="1">
      <c r="C2" s="1" t="inlineStr">
        <is>
          <t>PEAK STATE LABS</t>
        </is>
      </c>
    </row>
    <row r="3" ht="18" customHeight="1">
      <c r="C3" s="2" t="inlineStr">
        <is>
          <t>Expense Tracker</t>
        </is>
      </c>
    </row>
    <row r="4" ht="8" customHeight="1"/>
    <row r="6" ht="18" customHeight="1">
      <c r="B6" s="3" t="inlineStr">
        <is>
          <t>TOTAL EXPENSES  ·  ALL TIME</t>
        </is>
      </c>
      <c r="C6" s="4" t="n"/>
      <c r="D6" s="5" t="n"/>
      <c r="E6" s="3" t="inlineStr">
        <is>
          <t>THIS MONTH'S EXPENSES</t>
        </is>
      </c>
      <c r="F6" s="4" t="n"/>
      <c r="G6" s="5" t="n"/>
      <c r="I6" s="3" t="inlineStr">
        <is>
          <t>AVERAGE MONTHLY SPEND</t>
        </is>
      </c>
      <c r="J6" s="4" t="n"/>
      <c r="K6" s="5" t="n"/>
      <c r="L6" s="3" t="inlineStr">
        <is>
          <t>LARGEST EXPENSE CATEGORY</t>
        </is>
      </c>
      <c r="M6" s="4" t="n"/>
      <c r="N6" s="5" t="n"/>
    </row>
    <row r="7" ht="22" customHeight="1">
      <c r="B7" s="6">
        <f>SUM('Expense Tracker'!$G$3:$G$1002)</f>
        <v/>
      </c>
      <c r="C7" s="7" t="n"/>
      <c r="D7" s="8" t="n"/>
      <c r="E7" s="6">
        <f>SUMIF('Expense Tracker'!$B$3:$B$1002,$E$9,'Expense Tracker'!$G$3:$G$1002)</f>
        <v/>
      </c>
      <c r="F7" s="7" t="n"/>
      <c r="G7" s="8" t="n"/>
      <c r="I7" s="6">
        <f>IFERROR(SUM('Expense Tracker'!$G$3:$G$1002)/COUNTIF('Monthly Summary'!$G$12:$G$35,"&gt;0"),0)</f>
        <v/>
      </c>
      <c r="J7" s="7" t="n"/>
      <c r="K7" s="8" t="n"/>
      <c r="L7" s="9">
        <f>IFERROR(INDEX($E$14:$E$18,MATCH(MAX($F$14:$F$18),$F$14:$F$18,0)),"")</f>
        <v/>
      </c>
      <c r="M7" s="7" t="n"/>
      <c r="N7" s="8" t="n"/>
    </row>
    <row r="8" ht="14" customHeight="1">
      <c r="B8" s="10" t="n"/>
      <c r="C8" s="7" t="n"/>
      <c r="D8" s="8" t="n"/>
      <c r="E8" s="10" t="n"/>
      <c r="F8" s="7" t="n"/>
      <c r="G8" s="8" t="n"/>
      <c r="I8" s="10" t="n"/>
      <c r="J8" s="7" t="n"/>
      <c r="K8" s="8" t="n"/>
      <c r="L8" s="10" t="n"/>
      <c r="M8" s="7" t="n"/>
      <c r="N8" s="8" t="n"/>
    </row>
    <row r="9" ht="18" customHeight="1">
      <c r="B9" s="11" t="inlineStr">
        <is>
          <t>Every valid expense entered</t>
        </is>
      </c>
      <c r="C9" s="12" t="n"/>
      <c r="D9" s="13" t="n"/>
      <c r="E9" s="14" t="inlineStr">
        <is>
          <t>Aug 2026</t>
        </is>
      </c>
      <c r="F9" s="12" t="n"/>
      <c r="G9" s="13" t="n"/>
      <c r="I9" s="11" t="inlineStr">
        <is>
          <t>Months with expenses only</t>
        </is>
      </c>
      <c r="J9" s="12" t="n"/>
      <c r="K9" s="13" t="n"/>
      <c r="L9" s="15">
        <f>IFERROR(MAX($F$14:$F$18),0)</f>
        <v/>
      </c>
      <c r="M9" s="12" t="n"/>
      <c r="N9" s="13" t="n"/>
    </row>
    <row r="12" ht="20" customHeight="1">
      <c r="B12" s="16" t="inlineStr">
        <is>
          <t>EXPENSES BY CATEGORY</t>
        </is>
      </c>
      <c r="C12" s="17" t="n"/>
      <c r="D12" s="17" t="n"/>
      <c r="E12" s="17" t="n"/>
      <c r="F12" s="17" t="n"/>
      <c r="G12" s="17" t="n"/>
      <c r="I12" s="16" t="inlineStr">
        <is>
          <t>TOP VENDORS</t>
        </is>
      </c>
      <c r="J12" s="17" t="n"/>
      <c r="K12" s="17" t="n"/>
      <c r="L12" s="17" t="n"/>
      <c r="M12" s="17" t="n"/>
      <c r="N12" s="17" t="n"/>
    </row>
    <row r="13">
      <c r="E13" s="18" t="inlineStr">
        <is>
          <t>Category</t>
        </is>
      </c>
      <c r="F13" s="19" t="inlineStr">
        <is>
          <t>Total</t>
        </is>
      </c>
      <c r="G13" s="19" t="inlineStr">
        <is>
          <t>% of Total</t>
        </is>
      </c>
      <c r="I13" s="20" t="inlineStr">
        <is>
          <t>Vendor</t>
        </is>
      </c>
      <c r="J13" s="21" t="n"/>
      <c r="K13" s="21" t="n"/>
      <c r="L13" s="22" t="inlineStr">
        <is>
          <t>Total Spent</t>
        </is>
      </c>
      <c r="M13" s="23" t="inlineStr">
        <is>
          <t>Transactions</t>
        </is>
      </c>
      <c r="N13" s="24" t="n"/>
    </row>
    <row r="14" ht="18" customHeight="1">
      <c r="E14" s="25">
        <f>Categories!$A$2</f>
        <v/>
      </c>
      <c r="F14" s="26">
        <f>SUMIF('Expense Tracker'!$E$3:$E$1002,$E14,'Expense Tracker'!$G$3:$G$1002)</f>
        <v/>
      </c>
      <c r="G14" s="27">
        <f>IFERROR($F14/SUM($F$14:$F$18),0)</f>
        <v/>
      </c>
      <c r="I14" s="28">
        <f>IFERROR(INDEX('Expense Tracker'!$K$3:$K$1002,MATCH(LARGE('Expense Tracker'!$L$3:$L$1002,1),'Expense Tracker'!$L$3:$L$1002,0)),"")</f>
        <v/>
      </c>
      <c r="L14" s="29">
        <f>IFERROR(INDEX('Expense Tracker'!$M$3:$M$1002,MATCH(LARGE('Expense Tracker'!$L$3:$L$1002,1),'Expense Tracker'!$L$3:$L$1002,0)),"")</f>
        <v/>
      </c>
      <c r="M14" s="30">
        <f>IFERROR(INDEX('Expense Tracker'!$N$3:$N$1002,MATCH(LARGE('Expense Tracker'!$L$3:$L$1002,1),'Expense Tracker'!$L$3:$L$1002,0)),"")</f>
        <v/>
      </c>
      <c r="N14" s="31" t="n"/>
    </row>
    <row r="15" ht="18" customHeight="1">
      <c r="E15" s="25">
        <f>Categories!$A$3</f>
        <v/>
      </c>
      <c r="F15" s="26">
        <f>SUMIF('Expense Tracker'!$E$3:$E$1002,$E15,'Expense Tracker'!$G$3:$G$1002)</f>
        <v/>
      </c>
      <c r="G15" s="27">
        <f>IFERROR($F15/SUM($F$14:$F$18),0)</f>
        <v/>
      </c>
      <c r="I15" s="32">
        <f>IFERROR(INDEX('Expense Tracker'!$K$3:$K$1002,MATCH(LARGE('Expense Tracker'!$L$3:$L$1002,2),'Expense Tracker'!$L$3:$L$1002,0)),"")</f>
        <v/>
      </c>
      <c r="J15" s="33" t="n"/>
      <c r="K15" s="33" t="n"/>
      <c r="L15" s="34">
        <f>IFERROR(INDEX('Expense Tracker'!$M$3:$M$1002,MATCH(LARGE('Expense Tracker'!$L$3:$L$1002,2),'Expense Tracker'!$L$3:$L$1002,0)),"")</f>
        <v/>
      </c>
      <c r="M15" s="35">
        <f>IFERROR(INDEX('Expense Tracker'!$N$3:$N$1002,MATCH(LARGE('Expense Tracker'!$L$3:$L$1002,2),'Expense Tracker'!$L$3:$L$1002,0)),"")</f>
        <v/>
      </c>
      <c r="N15" s="36" t="n"/>
    </row>
    <row r="16" ht="18" customHeight="1">
      <c r="E16" s="25">
        <f>Categories!$A$4</f>
        <v/>
      </c>
      <c r="F16" s="26">
        <f>SUMIF('Expense Tracker'!$E$3:$E$1002,$E16,'Expense Tracker'!$G$3:$G$1002)</f>
        <v/>
      </c>
      <c r="G16" s="27">
        <f>IFERROR($F16/SUM($F$14:$F$18),0)</f>
        <v/>
      </c>
      <c r="I16" s="28">
        <f>IFERROR(INDEX('Expense Tracker'!$K$3:$K$1002,MATCH(LARGE('Expense Tracker'!$L$3:$L$1002,3),'Expense Tracker'!$L$3:$L$1002,0)),"")</f>
        <v/>
      </c>
      <c r="L16" s="29">
        <f>IFERROR(INDEX('Expense Tracker'!$M$3:$M$1002,MATCH(LARGE('Expense Tracker'!$L$3:$L$1002,3),'Expense Tracker'!$L$3:$L$1002,0)),"")</f>
        <v/>
      </c>
      <c r="M16" s="30">
        <f>IFERROR(INDEX('Expense Tracker'!$N$3:$N$1002,MATCH(LARGE('Expense Tracker'!$L$3:$L$1002,3),'Expense Tracker'!$L$3:$L$1002,0)),"")</f>
        <v/>
      </c>
      <c r="N16" s="31" t="n"/>
    </row>
    <row r="17" ht="18" customHeight="1">
      <c r="E17" s="25">
        <f>Categories!$A$5</f>
        <v/>
      </c>
      <c r="F17" s="26">
        <f>SUMIF('Expense Tracker'!$E$3:$E$1002,$E17,'Expense Tracker'!$G$3:$G$1002)</f>
        <v/>
      </c>
      <c r="G17" s="27">
        <f>IFERROR($F17/SUM($F$14:$F$18),0)</f>
        <v/>
      </c>
      <c r="I17" s="32">
        <f>IFERROR(INDEX('Expense Tracker'!$K$3:$K$1002,MATCH(LARGE('Expense Tracker'!$L$3:$L$1002,4),'Expense Tracker'!$L$3:$L$1002,0)),"")</f>
        <v/>
      </c>
      <c r="J17" s="33" t="n"/>
      <c r="K17" s="33" t="n"/>
      <c r="L17" s="34">
        <f>IFERROR(INDEX('Expense Tracker'!$M$3:$M$1002,MATCH(LARGE('Expense Tracker'!$L$3:$L$1002,4),'Expense Tracker'!$L$3:$L$1002,0)),"")</f>
        <v/>
      </c>
      <c r="M17" s="35">
        <f>IFERROR(INDEX('Expense Tracker'!$N$3:$N$1002,MATCH(LARGE('Expense Tracker'!$L$3:$L$1002,4),'Expense Tracker'!$L$3:$L$1002,0)),"")</f>
        <v/>
      </c>
      <c r="N17" s="36" t="n"/>
    </row>
    <row r="18" ht="18" customHeight="1">
      <c r="E18" s="25">
        <f>Categories!$A$6</f>
        <v/>
      </c>
      <c r="F18" s="26">
        <f>SUMIF('Expense Tracker'!$E$3:$E$1002,$E18,'Expense Tracker'!$G$3:$G$1002)</f>
        <v/>
      </c>
      <c r="G18" s="27">
        <f>IFERROR($F18/SUM($F$14:$F$18),0)</f>
        <v/>
      </c>
      <c r="I18" s="37">
        <f>IFERROR(INDEX('Expense Tracker'!$K$3:$K$1002,MATCH(LARGE('Expense Tracker'!$L$3:$L$1002,5),'Expense Tracker'!$L$3:$L$1002,0)),"")</f>
        <v/>
      </c>
      <c r="J18" s="12" t="n"/>
      <c r="K18" s="12" t="n"/>
      <c r="L18" s="38">
        <f>IFERROR(INDEX('Expense Tracker'!$M$3:$M$1002,MATCH(LARGE('Expense Tracker'!$L$3:$L$1002,5),'Expense Tracker'!$L$3:$L$1002,0)),"")</f>
        <v/>
      </c>
      <c r="M18" s="39">
        <f>IFERROR(INDEX('Expense Tracker'!$N$3:$N$1002,MATCH(LARGE('Expense Tracker'!$L$3:$L$1002,5),'Expense Tracker'!$L$3:$L$1002,0)),"")</f>
        <v/>
      </c>
      <c r="N18" s="13" t="n"/>
    </row>
    <row r="19">
      <c r="E19" s="40" t="inlineStr">
        <is>
          <t>Total</t>
        </is>
      </c>
      <c r="F19" s="41">
        <f>SUM(F14:F18)</f>
        <v/>
      </c>
      <c r="G19" s="42">
        <f>IFERROR(SUM(G14:G18),0)</f>
        <v/>
      </c>
    </row>
    <row r="20" ht="20" customHeight="1">
      <c r="I20" s="16" t="inlineStr">
        <is>
          <t>RECENT EXPENSES</t>
        </is>
      </c>
      <c r="J20" s="17" t="n"/>
      <c r="K20" s="17" t="n"/>
      <c r="L20" s="17" t="n"/>
      <c r="M20" s="17" t="n"/>
      <c r="N20" s="17" t="n"/>
    </row>
    <row r="21" ht="20" customHeight="1">
      <c r="B21" s="16" t="inlineStr">
        <is>
          <t>MONTHLY SPENDING TREND</t>
        </is>
      </c>
      <c r="C21" s="17" t="n"/>
      <c r="D21" s="17" t="n"/>
      <c r="E21" s="17" t="n"/>
      <c r="F21" s="17" t="n"/>
      <c r="G21" s="17" t="n"/>
      <c r="I21" s="20" t="inlineStr">
        <is>
          <t>Date</t>
        </is>
      </c>
      <c r="J21" s="43" t="inlineStr">
        <is>
          <t>Vendor</t>
        </is>
      </c>
      <c r="K21" s="21" t="n"/>
      <c r="L21" s="43" t="inlineStr">
        <is>
          <t>Category</t>
        </is>
      </c>
      <c r="M21" s="21" t="n"/>
      <c r="N21" s="44" t="inlineStr">
        <is>
          <t>Amount</t>
        </is>
      </c>
    </row>
    <row r="22" ht="16" customHeight="1">
      <c r="I22" s="45">
        <f>IFERROR(INDEX('Expense Tracker'!$A$3:$A$1002,MATCH(LARGE('Expense Tracker'!$P$3:$P$1002,1),'Expense Tracker'!$P$3:$P$1002,0)),"")</f>
        <v/>
      </c>
      <c r="J22" s="46">
        <f>IFERROR(INDEX('Expense Tracker'!$C$3:$C$1002,MATCH(LARGE('Expense Tracker'!$P$3:$P$1002,1),'Expense Tracker'!$P$3:$P$1002,0)),"")</f>
        <v/>
      </c>
      <c r="L22" s="46">
        <f>IFERROR(INDEX('Expense Tracker'!$E$3:$E$1002,MATCH(LARGE('Expense Tracker'!$P$3:$P$1002,1),'Expense Tracker'!$P$3:$P$1002,0)),"")</f>
        <v/>
      </c>
      <c r="N22" s="47">
        <f>IFERROR(INDEX('Expense Tracker'!$G$3:$G$1002,MATCH(LARGE('Expense Tracker'!$P$3:$P$1002,1),'Expense Tracker'!$P$3:$P$1002,0)),"")</f>
        <v/>
      </c>
    </row>
    <row r="23" ht="16" customHeight="1">
      <c r="I23" s="48">
        <f>IFERROR(INDEX('Expense Tracker'!$A$3:$A$1002,MATCH(LARGE('Expense Tracker'!$P$3:$P$1002,2),'Expense Tracker'!$P$3:$P$1002,0)),"")</f>
        <v/>
      </c>
      <c r="J23" s="49">
        <f>IFERROR(INDEX('Expense Tracker'!$C$3:$C$1002,MATCH(LARGE('Expense Tracker'!$P$3:$P$1002,2),'Expense Tracker'!$P$3:$P$1002,0)),"")</f>
        <v/>
      </c>
      <c r="K23" s="33" t="n"/>
      <c r="L23" s="49">
        <f>IFERROR(INDEX('Expense Tracker'!$E$3:$E$1002,MATCH(LARGE('Expense Tracker'!$P$3:$P$1002,2),'Expense Tracker'!$P$3:$P$1002,0)),"")</f>
        <v/>
      </c>
      <c r="M23" s="33" t="n"/>
      <c r="N23" s="50">
        <f>IFERROR(INDEX('Expense Tracker'!$G$3:$G$1002,MATCH(LARGE('Expense Tracker'!$P$3:$P$1002,2),'Expense Tracker'!$P$3:$P$1002,0)),"")</f>
        <v/>
      </c>
    </row>
    <row r="24" ht="16" customHeight="1">
      <c r="I24" s="45">
        <f>IFERROR(INDEX('Expense Tracker'!$A$3:$A$1002,MATCH(LARGE('Expense Tracker'!$P$3:$P$1002,3),'Expense Tracker'!$P$3:$P$1002,0)),"")</f>
        <v/>
      </c>
      <c r="J24" s="46">
        <f>IFERROR(INDEX('Expense Tracker'!$C$3:$C$1002,MATCH(LARGE('Expense Tracker'!$P$3:$P$1002,3),'Expense Tracker'!$P$3:$P$1002,0)),"")</f>
        <v/>
      </c>
      <c r="L24" s="46">
        <f>IFERROR(INDEX('Expense Tracker'!$E$3:$E$1002,MATCH(LARGE('Expense Tracker'!$P$3:$P$1002,3),'Expense Tracker'!$P$3:$P$1002,0)),"")</f>
        <v/>
      </c>
      <c r="N24" s="47">
        <f>IFERROR(INDEX('Expense Tracker'!$G$3:$G$1002,MATCH(LARGE('Expense Tracker'!$P$3:$P$1002,3),'Expense Tracker'!$P$3:$P$1002,0)),"")</f>
        <v/>
      </c>
    </row>
    <row r="25" ht="16" customHeight="1">
      <c r="I25" s="48">
        <f>IFERROR(INDEX('Expense Tracker'!$A$3:$A$1002,MATCH(LARGE('Expense Tracker'!$P$3:$P$1002,4),'Expense Tracker'!$P$3:$P$1002,0)),"")</f>
        <v/>
      </c>
      <c r="J25" s="49">
        <f>IFERROR(INDEX('Expense Tracker'!$C$3:$C$1002,MATCH(LARGE('Expense Tracker'!$P$3:$P$1002,4),'Expense Tracker'!$P$3:$P$1002,0)),"")</f>
        <v/>
      </c>
      <c r="K25" s="33" t="n"/>
      <c r="L25" s="49">
        <f>IFERROR(INDEX('Expense Tracker'!$E$3:$E$1002,MATCH(LARGE('Expense Tracker'!$P$3:$P$1002,4),'Expense Tracker'!$P$3:$P$1002,0)),"")</f>
        <v/>
      </c>
      <c r="M25" s="33" t="n"/>
      <c r="N25" s="50">
        <f>IFERROR(INDEX('Expense Tracker'!$G$3:$G$1002,MATCH(LARGE('Expense Tracker'!$P$3:$P$1002,4),'Expense Tracker'!$P$3:$P$1002,0)),"")</f>
        <v/>
      </c>
    </row>
    <row r="26" ht="16" customHeight="1">
      <c r="I26" s="45">
        <f>IFERROR(INDEX('Expense Tracker'!$A$3:$A$1002,MATCH(LARGE('Expense Tracker'!$P$3:$P$1002,5),'Expense Tracker'!$P$3:$P$1002,0)),"")</f>
        <v/>
      </c>
      <c r="J26" s="46">
        <f>IFERROR(INDEX('Expense Tracker'!$C$3:$C$1002,MATCH(LARGE('Expense Tracker'!$P$3:$P$1002,5),'Expense Tracker'!$P$3:$P$1002,0)),"")</f>
        <v/>
      </c>
      <c r="L26" s="46">
        <f>IFERROR(INDEX('Expense Tracker'!$E$3:$E$1002,MATCH(LARGE('Expense Tracker'!$P$3:$P$1002,5),'Expense Tracker'!$P$3:$P$1002,0)),"")</f>
        <v/>
      </c>
      <c r="N26" s="47">
        <f>IFERROR(INDEX('Expense Tracker'!$G$3:$G$1002,MATCH(LARGE('Expense Tracker'!$P$3:$P$1002,5),'Expense Tracker'!$P$3:$P$1002,0)),"")</f>
        <v/>
      </c>
    </row>
    <row r="27" ht="16" customHeight="1">
      <c r="I27" s="48">
        <f>IFERROR(INDEX('Expense Tracker'!$A$3:$A$1002,MATCH(LARGE('Expense Tracker'!$P$3:$P$1002,6),'Expense Tracker'!$P$3:$P$1002,0)),"")</f>
        <v/>
      </c>
      <c r="J27" s="49">
        <f>IFERROR(INDEX('Expense Tracker'!$C$3:$C$1002,MATCH(LARGE('Expense Tracker'!$P$3:$P$1002,6),'Expense Tracker'!$P$3:$P$1002,0)),"")</f>
        <v/>
      </c>
      <c r="K27" s="33" t="n"/>
      <c r="L27" s="49">
        <f>IFERROR(INDEX('Expense Tracker'!$E$3:$E$1002,MATCH(LARGE('Expense Tracker'!$P$3:$P$1002,6),'Expense Tracker'!$P$3:$P$1002,0)),"")</f>
        <v/>
      </c>
      <c r="M27" s="33" t="n"/>
      <c r="N27" s="50">
        <f>IFERROR(INDEX('Expense Tracker'!$G$3:$G$1002,MATCH(LARGE('Expense Tracker'!$P$3:$P$1002,6),'Expense Tracker'!$P$3:$P$1002,0)),"")</f>
        <v/>
      </c>
    </row>
    <row r="28" ht="16" customHeight="1">
      <c r="I28" s="45">
        <f>IFERROR(INDEX('Expense Tracker'!$A$3:$A$1002,MATCH(LARGE('Expense Tracker'!$P$3:$P$1002,7),'Expense Tracker'!$P$3:$P$1002,0)),"")</f>
        <v/>
      </c>
      <c r="J28" s="46">
        <f>IFERROR(INDEX('Expense Tracker'!$C$3:$C$1002,MATCH(LARGE('Expense Tracker'!$P$3:$P$1002,7),'Expense Tracker'!$P$3:$P$1002,0)),"")</f>
        <v/>
      </c>
      <c r="L28" s="46">
        <f>IFERROR(INDEX('Expense Tracker'!$E$3:$E$1002,MATCH(LARGE('Expense Tracker'!$P$3:$P$1002,7),'Expense Tracker'!$P$3:$P$1002,0)),"")</f>
        <v/>
      </c>
      <c r="N28" s="47">
        <f>IFERROR(INDEX('Expense Tracker'!$G$3:$G$1002,MATCH(LARGE('Expense Tracker'!$P$3:$P$1002,7),'Expense Tracker'!$P$3:$P$1002,0)),"")</f>
        <v/>
      </c>
    </row>
    <row r="29" ht="16" customHeight="1">
      <c r="I29" s="48">
        <f>IFERROR(INDEX('Expense Tracker'!$A$3:$A$1002,MATCH(LARGE('Expense Tracker'!$P$3:$P$1002,8),'Expense Tracker'!$P$3:$P$1002,0)),"")</f>
        <v/>
      </c>
      <c r="J29" s="49">
        <f>IFERROR(INDEX('Expense Tracker'!$C$3:$C$1002,MATCH(LARGE('Expense Tracker'!$P$3:$P$1002,8),'Expense Tracker'!$P$3:$P$1002,0)),"")</f>
        <v/>
      </c>
      <c r="K29" s="33" t="n"/>
      <c r="L29" s="49">
        <f>IFERROR(INDEX('Expense Tracker'!$E$3:$E$1002,MATCH(LARGE('Expense Tracker'!$P$3:$P$1002,8),'Expense Tracker'!$P$3:$P$1002,0)),"")</f>
        <v/>
      </c>
      <c r="M29" s="33" t="n"/>
      <c r="N29" s="50">
        <f>IFERROR(INDEX('Expense Tracker'!$G$3:$G$1002,MATCH(LARGE('Expense Tracker'!$P$3:$P$1002,8),'Expense Tracker'!$P$3:$P$1002,0)),"")</f>
        <v/>
      </c>
    </row>
    <row r="30" ht="16" customHeight="1">
      <c r="I30" s="45">
        <f>IFERROR(INDEX('Expense Tracker'!$A$3:$A$1002,MATCH(LARGE('Expense Tracker'!$P$3:$P$1002,9),'Expense Tracker'!$P$3:$P$1002,0)),"")</f>
        <v/>
      </c>
      <c r="J30" s="46">
        <f>IFERROR(INDEX('Expense Tracker'!$C$3:$C$1002,MATCH(LARGE('Expense Tracker'!$P$3:$P$1002,9),'Expense Tracker'!$P$3:$P$1002,0)),"")</f>
        <v/>
      </c>
      <c r="L30" s="46">
        <f>IFERROR(INDEX('Expense Tracker'!$E$3:$E$1002,MATCH(LARGE('Expense Tracker'!$P$3:$P$1002,9),'Expense Tracker'!$P$3:$P$1002,0)),"")</f>
        <v/>
      </c>
      <c r="N30" s="47">
        <f>IFERROR(INDEX('Expense Tracker'!$G$3:$G$1002,MATCH(LARGE('Expense Tracker'!$P$3:$P$1002,9),'Expense Tracker'!$P$3:$P$1002,0)),"")</f>
        <v/>
      </c>
    </row>
    <row r="31" ht="16" customHeight="1">
      <c r="I31" s="51">
        <f>IFERROR(INDEX('Expense Tracker'!$A$3:$A$1002,MATCH(LARGE('Expense Tracker'!$P$3:$P$1002,10),'Expense Tracker'!$P$3:$P$1002,0)),"")</f>
        <v/>
      </c>
      <c r="J31" s="52">
        <f>IFERROR(INDEX('Expense Tracker'!$C$3:$C$1002,MATCH(LARGE('Expense Tracker'!$P$3:$P$1002,10),'Expense Tracker'!$P$3:$P$1002,0)),"")</f>
        <v/>
      </c>
      <c r="K31" s="53" t="n"/>
      <c r="L31" s="52">
        <f>IFERROR(INDEX('Expense Tracker'!$E$3:$E$1002,MATCH(LARGE('Expense Tracker'!$P$3:$P$1002,10),'Expense Tracker'!$P$3:$P$1002,0)),"")</f>
        <v/>
      </c>
      <c r="M31" s="53" t="n"/>
      <c r="N31" s="54">
        <f>IFERROR(INDEX('Expense Tracker'!$G$3:$G$1002,MATCH(LARGE('Expense Tracker'!$P$3:$P$1002,10),'Expense Tracker'!$P$3:$P$1002,0)),"")</f>
        <v/>
      </c>
    </row>
  </sheetData>
  <mergeCells count="52">
    <mergeCell ref="I16:K16"/>
    <mergeCell ref="J29:K29"/>
    <mergeCell ref="E9:G9"/>
    <mergeCell ref="I18:K18"/>
    <mergeCell ref="J28:K28"/>
    <mergeCell ref="I12:N12"/>
    <mergeCell ref="L28:M28"/>
    <mergeCell ref="B7:D8"/>
    <mergeCell ref="E6:G6"/>
    <mergeCell ref="L7:N8"/>
    <mergeCell ref="J30:K30"/>
    <mergeCell ref="C3:F3"/>
    <mergeCell ref="I14:K14"/>
    <mergeCell ref="J24:K24"/>
    <mergeCell ref="L24:M24"/>
    <mergeCell ref="L9:N9"/>
    <mergeCell ref="B9:D9"/>
    <mergeCell ref="I17:K17"/>
    <mergeCell ref="J27:K27"/>
    <mergeCell ref="L23:M23"/>
    <mergeCell ref="L6:N6"/>
    <mergeCell ref="B6:D6"/>
    <mergeCell ref="I20:N20"/>
    <mergeCell ref="J26:K26"/>
    <mergeCell ref="M13:N13"/>
    <mergeCell ref="I7:K8"/>
    <mergeCell ref="M16:N16"/>
    <mergeCell ref="L26:M26"/>
    <mergeCell ref="L30:M30"/>
    <mergeCell ref="M15:N15"/>
    <mergeCell ref="L29:M29"/>
    <mergeCell ref="I13:K13"/>
    <mergeCell ref="I9:K9"/>
    <mergeCell ref="J25:K25"/>
    <mergeCell ref="C2:F2"/>
    <mergeCell ref="L25:M25"/>
    <mergeCell ref="M18:N18"/>
    <mergeCell ref="J31:K31"/>
    <mergeCell ref="J22:K22"/>
    <mergeCell ref="L31:M31"/>
    <mergeCell ref="I15:K15"/>
    <mergeCell ref="L22:M22"/>
    <mergeCell ref="I6:K6"/>
    <mergeCell ref="M17:N17"/>
    <mergeCell ref="J21:K21"/>
    <mergeCell ref="L21:M21"/>
    <mergeCell ref="M14:N14"/>
    <mergeCell ref="L27:M27"/>
    <mergeCell ref="B12:G12"/>
    <mergeCell ref="J23:K23"/>
    <mergeCell ref="B21:G21"/>
    <mergeCell ref="E7:G8"/>
  </mergeCells>
  <dataValidations count="1">
    <dataValidation sqref="E9" showDropDown="0" showInputMessage="0" showErrorMessage="0" allowBlank="1" prompt="Select a month" type="list">
      <formula1>='Monthly Summary'!$A$12:$A$35</formula1>
    </dataValidation>
  </dataValidations>
  <pageMargins left="0.3" right="0.3" top="0.4" bottom="0.4" header="0.5" footer="0.5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2" customWidth="1" min="3" max="3"/>
    <col width="34" customWidth="1" min="4" max="4"/>
    <col width="24" customWidth="1" min="5" max="5"/>
    <col width="17" customWidth="1" min="6" max="6"/>
    <col width="14" customWidth="1" min="7" max="7"/>
    <col width="30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</cols>
  <sheetData>
    <row r="1" ht="24" customHeight="1">
      <c r="A1" s="55" t="inlineStr">
        <is>
          <t xml:space="preserve">  Sample entries are included for preview purposes.  Delete these rows before entering real expenses.</t>
        </is>
      </c>
      <c r="B1" s="56" t="n"/>
      <c r="C1" s="56" t="n"/>
      <c r="D1" s="56" t="n"/>
      <c r="E1" s="56" t="n"/>
      <c r="F1" s="56" t="n"/>
      <c r="G1" s="56" t="n"/>
      <c r="H1" s="57" t="n"/>
    </row>
    <row r="2" ht="22" customHeight="1">
      <c r="A2" s="58" t="inlineStr">
        <is>
          <t>Date</t>
        </is>
      </c>
      <c r="B2" s="58" t="inlineStr">
        <is>
          <t>Month</t>
        </is>
      </c>
      <c r="C2" s="58" t="inlineStr">
        <is>
          <t>Vendor</t>
        </is>
      </c>
      <c r="D2" s="58" t="inlineStr">
        <is>
          <t>Description</t>
        </is>
      </c>
      <c r="E2" s="58" t="inlineStr">
        <is>
          <t>Category</t>
        </is>
      </c>
      <c r="F2" s="58" t="inlineStr">
        <is>
          <t>Payment Method</t>
        </is>
      </c>
      <c r="G2" s="59" t="inlineStr">
        <is>
          <t>Amount</t>
        </is>
      </c>
      <c r="H2" s="58" t="inlineStr">
        <is>
          <t>Notes</t>
        </is>
      </c>
    </row>
    <row r="3" ht="18" customHeight="1">
      <c r="A3" s="60" t="n">
        <v>46231</v>
      </c>
      <c r="B3" s="61">
        <f>IF(A3="","",TEXT(A3,"mmm yyyy"))</f>
        <v/>
      </c>
      <c r="C3" s="62" t="inlineStr">
        <is>
          <t>Google Workspace</t>
        </is>
      </c>
      <c r="D3" s="62" t="inlineStr">
        <is>
          <t>Business Standard - Monthly</t>
        </is>
      </c>
      <c r="E3" s="62" t="inlineStr">
        <is>
          <t>Software &amp; Technology</t>
        </is>
      </c>
      <c r="F3" s="62" t="inlineStr">
        <is>
          <t>Credit Card</t>
        </is>
      </c>
      <c r="G3" s="63" t="n">
        <v>21.6</v>
      </c>
      <c r="H3" s="64" t="inlineStr">
        <is>
          <t>SAMPLE - delete before real use</t>
        </is>
      </c>
      <c r="K3">
        <f>IF($C3="","",IF(COUNTIF($C$3:$C3,$C3)=1,$C3,""))</f>
        <v/>
      </c>
      <c r="L3">
        <f>IF($K3="","",$M3+ROW()/10000000)</f>
        <v/>
      </c>
      <c r="M3">
        <f>IF($K3="","",SUMIF($C$3:$C$1002,$K3,$G$3:$G$1002))</f>
        <v/>
      </c>
      <c r="N3">
        <f>IF($K3="","",COUNTIF($C$3:$C$1002,$K3))</f>
        <v/>
      </c>
      <c r="P3">
        <f>IF($A3="","",$A3*100000+ROW())</f>
        <v/>
      </c>
    </row>
    <row r="4" ht="18" customHeight="1">
      <c r="A4" s="60" t="n">
        <v>46231</v>
      </c>
      <c r="B4" s="61">
        <f>IF(A4="","",TEXT(A4,"mmm yyyy"))</f>
        <v/>
      </c>
      <c r="C4" s="62" t="inlineStr">
        <is>
          <t>Amazon</t>
        </is>
      </c>
      <c r="D4" s="62" t="inlineStr">
        <is>
          <t>Packing tape &amp; supplies</t>
        </is>
      </c>
      <c r="E4" s="62" t="inlineStr">
        <is>
          <t>Office &amp; Supplies</t>
        </is>
      </c>
      <c r="F4" s="62" t="inlineStr">
        <is>
          <t>Credit Card</t>
        </is>
      </c>
      <c r="G4" s="63" t="n">
        <v>18.79</v>
      </c>
      <c r="H4" s="64" t="inlineStr">
        <is>
          <t>SAMPLE - delete before real use</t>
        </is>
      </c>
      <c r="K4">
        <f>IF($C4="","",IF(COUNTIF($C$3:$C4,$C4)=1,$C4,""))</f>
        <v/>
      </c>
      <c r="L4">
        <f>IF($K4="","",$M4+ROW()/10000000)</f>
        <v/>
      </c>
      <c r="M4">
        <f>IF($K4="","",SUMIF($C$3:$C$1002,$K4,$G$3:$G$1002))</f>
        <v/>
      </c>
      <c r="N4">
        <f>IF($K4="","",COUNTIF($C$3:$C$1002,$K4))</f>
        <v/>
      </c>
      <c r="P4">
        <f>IF($A4="","",$A4*100000+ROW())</f>
        <v/>
      </c>
    </row>
    <row r="5" ht="18" customHeight="1">
      <c r="A5" s="60" t="n">
        <v>46233</v>
      </c>
      <c r="B5" s="61">
        <f>IF(A5="","",TEXT(A5,"mmm yyyy"))</f>
        <v/>
      </c>
      <c r="C5" s="62" t="inlineStr">
        <is>
          <t>Meta Ads</t>
        </is>
      </c>
      <c r="D5" s="62" t="inlineStr">
        <is>
          <t>Ad spend - prospecting</t>
        </is>
      </c>
      <c r="E5" s="62" t="inlineStr">
        <is>
          <t>Marketing &amp; Advertising</t>
        </is>
      </c>
      <c r="F5" s="62" t="inlineStr">
        <is>
          <t>Credit Card</t>
        </is>
      </c>
      <c r="G5" s="63" t="n">
        <v>920</v>
      </c>
      <c r="H5" s="64" t="inlineStr">
        <is>
          <t>SAMPLE - delete before real use</t>
        </is>
      </c>
      <c r="K5">
        <f>IF($C5="","",IF(COUNTIF($C$3:$C5,$C5)=1,$C5,""))</f>
        <v/>
      </c>
      <c r="L5">
        <f>IF($K5="","",$M5+ROW()/10000000)</f>
        <v/>
      </c>
      <c r="M5">
        <f>IF($K5="","",SUMIF($C$3:$C$1002,$K5,$G$3:$G$1002))</f>
        <v/>
      </c>
      <c r="N5">
        <f>IF($K5="","",COUNTIF($C$3:$C$1002,$K5))</f>
        <v/>
      </c>
      <c r="P5">
        <f>IF($A5="","",$A5*100000+ROW())</f>
        <v/>
      </c>
    </row>
    <row r="6" ht="18" customHeight="1">
      <c r="A6" s="60" t="n">
        <v>46234</v>
      </c>
      <c r="B6" s="61">
        <f>IF(A6="","",TEXT(A6,"mmm yyyy"))</f>
        <v/>
      </c>
      <c r="C6" s="62" t="inlineStr">
        <is>
          <t>USPS</t>
        </is>
      </c>
      <c r="D6" s="62" t="inlineStr">
        <is>
          <t>Shipping - Priority Mail</t>
        </is>
      </c>
      <c r="E6" s="62" t="inlineStr">
        <is>
          <t>Packaging &amp; Shipping</t>
        </is>
      </c>
      <c r="F6" s="62" t="inlineStr">
        <is>
          <t>Credit Card</t>
        </is>
      </c>
      <c r="G6" s="63" t="n">
        <v>231.6</v>
      </c>
      <c r="H6" s="64" t="inlineStr">
        <is>
          <t>SAMPLE - delete before real use</t>
        </is>
      </c>
      <c r="K6">
        <f>IF($C6="","",IF(COUNTIF($C$3:$C6,$C6)=1,$C6,""))</f>
        <v/>
      </c>
      <c r="L6">
        <f>IF($K6="","",$M6+ROW()/10000000)</f>
        <v/>
      </c>
      <c r="M6">
        <f>IF($K6="","",SUMIF($C$3:$C$1002,$K6,$G$3:$G$1002))</f>
        <v/>
      </c>
      <c r="N6">
        <f>IF($K6="","",COUNTIF($C$3:$C$1002,$K6))</f>
        <v/>
      </c>
      <c r="P6">
        <f>IF($A6="","",$A6*100000+ROW())</f>
        <v/>
      </c>
    </row>
    <row r="7" ht="18" customHeight="1">
      <c r="A7" s="60" t="n">
        <v>46234</v>
      </c>
      <c r="B7" s="61">
        <f>IF(A7="","",TEXT(A7,"mmm yyyy"))</f>
        <v/>
      </c>
      <c r="C7" s="62" t="inlineStr">
        <is>
          <t>Wholesale Supplier</t>
        </is>
      </c>
      <c r="D7" s="62" t="inlineStr">
        <is>
          <t>Inventory restock</t>
        </is>
      </c>
      <c r="E7" s="62" t="inlineStr">
        <is>
          <t>Inventory (COGS)</t>
        </is>
      </c>
      <c r="F7" s="62" t="inlineStr">
        <is>
          <t>Credit Card</t>
        </is>
      </c>
      <c r="G7" s="63" t="n">
        <v>1350</v>
      </c>
      <c r="H7" s="64" t="inlineStr">
        <is>
          <t>SAMPLE - delete before real use</t>
        </is>
      </c>
      <c r="K7">
        <f>IF($C7="","",IF(COUNTIF($C$3:$C7,$C7)=1,$C7,""))</f>
        <v/>
      </c>
      <c r="L7">
        <f>IF($K7="","",$M7+ROW()/10000000)</f>
        <v/>
      </c>
      <c r="M7">
        <f>IF($K7="","",SUMIF($C$3:$C$1002,$K7,$G$3:$G$1002))</f>
        <v/>
      </c>
      <c r="N7">
        <f>IF($K7="","",COUNTIF($C$3:$C$1002,$K7))</f>
        <v/>
      </c>
      <c r="P7">
        <f>IF($A7="","",$A7*100000+ROW())</f>
        <v/>
      </c>
    </row>
    <row r="8" ht="18" customHeight="1">
      <c r="A8" s="60" t="n">
        <v>46235</v>
      </c>
      <c r="B8" s="61">
        <f>IF(A8="","",TEXT(A8,"mmm yyyy"))</f>
        <v/>
      </c>
      <c r="C8" s="62" t="inlineStr">
        <is>
          <t>Canva</t>
        </is>
      </c>
      <c r="D8" s="62" t="inlineStr">
        <is>
          <t>Pro - Monthly</t>
        </is>
      </c>
      <c r="E8" s="62" t="inlineStr">
        <is>
          <t>Software &amp; Technology</t>
        </is>
      </c>
      <c r="F8" s="62" t="inlineStr">
        <is>
          <t>Credit Card</t>
        </is>
      </c>
      <c r="G8" s="63" t="n">
        <v>15</v>
      </c>
      <c r="H8" s="64" t="inlineStr">
        <is>
          <t>SAMPLE - delete before real use</t>
        </is>
      </c>
      <c r="K8">
        <f>IF($C8="","",IF(COUNTIF($C$3:$C8,$C8)=1,$C8,""))</f>
        <v/>
      </c>
      <c r="L8">
        <f>IF($K8="","",$M8+ROW()/10000000)</f>
        <v/>
      </c>
      <c r="M8">
        <f>IF($K8="","",SUMIF($C$3:$C$1002,$K8,$G$3:$G$1002))</f>
        <v/>
      </c>
      <c r="N8">
        <f>IF($K8="","",COUNTIF($C$3:$C$1002,$K8))</f>
        <v/>
      </c>
      <c r="P8">
        <f>IF($A8="","",$A8*100000+ROW())</f>
        <v/>
      </c>
    </row>
    <row r="9" ht="18" customHeight="1">
      <c r="A9" s="60" t="n">
        <v>46235</v>
      </c>
      <c r="B9" s="61">
        <f>IF(A9="","",TEXT(A9,"mmm yyyy"))</f>
        <v/>
      </c>
      <c r="C9" s="62" t="inlineStr">
        <is>
          <t>Office Depot</t>
        </is>
      </c>
      <c r="D9" s="62" t="inlineStr">
        <is>
          <t>Thermal shipping labels</t>
        </is>
      </c>
      <c r="E9" s="62" t="inlineStr">
        <is>
          <t>Office &amp; Supplies</t>
        </is>
      </c>
      <c r="F9" s="62" t="inlineStr">
        <is>
          <t>Credit Card</t>
        </is>
      </c>
      <c r="G9" s="63" t="n">
        <v>63.21</v>
      </c>
      <c r="H9" s="64" t="inlineStr">
        <is>
          <t>SAMPLE - delete before real use</t>
        </is>
      </c>
      <c r="K9">
        <f>IF($C9="","",IF(COUNTIF($C$3:$C9,$C9)=1,$C9,""))</f>
        <v/>
      </c>
      <c r="L9">
        <f>IF($K9="","",$M9+ROW()/10000000)</f>
        <v/>
      </c>
      <c r="M9">
        <f>IF($K9="","",SUMIF($C$3:$C$1002,$K9,$G$3:$G$1002))</f>
        <v/>
      </c>
      <c r="N9">
        <f>IF($K9="","",COUNTIF($C$3:$C$1002,$K9))</f>
        <v/>
      </c>
      <c r="P9">
        <f>IF($A9="","",$A9*100000+ROW())</f>
        <v/>
      </c>
    </row>
    <row r="10" ht="18" customHeight="1">
      <c r="A10" s="60" t="n">
        <v>46236</v>
      </c>
      <c r="B10" s="61">
        <f>IF(A10="","",TEXT(A10,"mmm yyyy"))</f>
        <v/>
      </c>
      <c r="C10" s="62" t="inlineStr">
        <is>
          <t>TikTok Ads</t>
        </is>
      </c>
      <c r="D10" s="62" t="inlineStr">
        <is>
          <t>Ad spend - retargeting</t>
        </is>
      </c>
      <c r="E10" s="62" t="inlineStr">
        <is>
          <t>Marketing &amp; Advertising</t>
        </is>
      </c>
      <c r="F10" s="62" t="inlineStr">
        <is>
          <t>Credit Card</t>
        </is>
      </c>
      <c r="G10" s="63" t="n">
        <v>1250</v>
      </c>
      <c r="H10" s="64" t="inlineStr">
        <is>
          <t>SAMPLE - delete before real use</t>
        </is>
      </c>
      <c r="K10">
        <f>IF($C10="","",IF(COUNTIF($C$3:$C10,$C10)=1,$C10,""))</f>
        <v/>
      </c>
      <c r="L10">
        <f>IF($K10="","",$M10+ROW()/10000000)</f>
        <v/>
      </c>
      <c r="M10">
        <f>IF($K10="","",SUMIF($C$3:$C$1002,$K10,$G$3:$G$1002))</f>
        <v/>
      </c>
      <c r="N10">
        <f>IF($K10="","",COUNTIF($C$3:$C$1002,$K10))</f>
        <v/>
      </c>
      <c r="P10">
        <f>IF($A10="","",$A10*100000+ROW())</f>
        <v/>
      </c>
    </row>
    <row r="11" ht="18" customHeight="1">
      <c r="A11" s="60" t="n">
        <v>46237</v>
      </c>
      <c r="B11" s="61">
        <f>IF(A11="","",TEXT(A11,"mmm yyyy"))</f>
        <v/>
      </c>
      <c r="C11" s="62" t="inlineStr">
        <is>
          <t>ClickFunnels</t>
        </is>
      </c>
      <c r="D11" s="62" t="inlineStr">
        <is>
          <t>Funnel builder - Monthly</t>
        </is>
      </c>
      <c r="E11" s="62" t="inlineStr">
        <is>
          <t>Software &amp; Technology</t>
        </is>
      </c>
      <c r="F11" s="62" t="inlineStr">
        <is>
          <t>Credit Card</t>
        </is>
      </c>
      <c r="G11" s="63" t="n">
        <v>297</v>
      </c>
      <c r="H11" s="64" t="inlineStr">
        <is>
          <t>SAMPLE - delete before real use</t>
        </is>
      </c>
      <c r="K11">
        <f>IF($C11="","",IF(COUNTIF($C$3:$C11,$C11)=1,$C11,""))</f>
        <v/>
      </c>
      <c r="L11">
        <f>IF($K11="","",$M11+ROW()/10000000)</f>
        <v/>
      </c>
      <c r="M11">
        <f>IF($K11="","",SUMIF($C$3:$C$1002,$K11,$G$3:$G$1002))</f>
        <v/>
      </c>
      <c r="N11">
        <f>IF($K11="","",COUNTIF($C$3:$C$1002,$K11))</f>
        <v/>
      </c>
      <c r="P11">
        <f>IF($A11="","",$A11*100000+ROW())</f>
        <v/>
      </c>
    </row>
    <row r="12" ht="18" customHeight="1">
      <c r="A12" s="60" t="n">
        <v>46237</v>
      </c>
      <c r="B12" s="61">
        <f>IF(A12="","",TEXT(A12,"mmm yyyy"))</f>
        <v/>
      </c>
      <c r="C12" s="62" t="inlineStr">
        <is>
          <t>Skool</t>
        </is>
      </c>
      <c r="D12" s="62" t="inlineStr">
        <is>
          <t>Community platform - Monthly</t>
        </is>
      </c>
      <c r="E12" s="62" t="inlineStr">
        <is>
          <t>Software &amp; Technology</t>
        </is>
      </c>
      <c r="F12" s="62" t="inlineStr">
        <is>
          <t>Credit Card</t>
        </is>
      </c>
      <c r="G12" s="63" t="n">
        <v>149</v>
      </c>
      <c r="H12" s="64" t="inlineStr">
        <is>
          <t>SAMPLE - delete before real use</t>
        </is>
      </c>
      <c r="K12">
        <f>IF($C12="","",IF(COUNTIF($C$3:$C12,$C12)=1,$C12,""))</f>
        <v/>
      </c>
      <c r="L12">
        <f>IF($K12="","",$M12+ROW()/10000000)</f>
        <v/>
      </c>
      <c r="M12">
        <f>IF($K12="","",SUMIF($C$3:$C$1002,$K12,$G$3:$G$1002))</f>
        <v/>
      </c>
      <c r="N12">
        <f>IF($K12="","",COUNTIF($C$3:$C$1002,$K12))</f>
        <v/>
      </c>
      <c r="P12">
        <f>IF($A12="","",$A12*100000+ROW())</f>
        <v/>
      </c>
    </row>
    <row r="13" ht="18" customHeight="1">
      <c r="A13" s="60" t="n">
        <v>46238</v>
      </c>
      <c r="B13" s="61">
        <f>IF(A13="","",TEXT(A13,"mmm yyyy"))</f>
        <v/>
      </c>
      <c r="C13" s="62" t="inlineStr">
        <is>
          <t>BoxUp</t>
        </is>
      </c>
      <c r="D13" s="62" t="inlineStr">
        <is>
          <t>Mailer boxes 10x6x4</t>
        </is>
      </c>
      <c r="E13" s="62" t="inlineStr">
        <is>
          <t>Packaging &amp; Shipping</t>
        </is>
      </c>
      <c r="F13" s="62" t="inlineStr">
        <is>
          <t>Credit Card</t>
        </is>
      </c>
      <c r="G13" s="63" t="n">
        <v>124.5</v>
      </c>
      <c r="H13" s="64" t="inlineStr">
        <is>
          <t>SAMPLE - delete before real use</t>
        </is>
      </c>
      <c r="K13">
        <f>IF($C13="","",IF(COUNTIF($C$3:$C13,$C13)=1,$C13,""))</f>
        <v/>
      </c>
      <c r="L13">
        <f>IF($K13="","",$M13+ROW()/10000000)</f>
        <v/>
      </c>
      <c r="M13">
        <f>IF($K13="","",SUMIF($C$3:$C$1002,$K13,$G$3:$G$1002))</f>
        <v/>
      </c>
      <c r="N13">
        <f>IF($K13="","",COUNTIF($C$3:$C$1002,$K13))</f>
        <v/>
      </c>
      <c r="P13">
        <f>IF($A13="","",$A13*100000+ROW())</f>
        <v/>
      </c>
    </row>
    <row r="14" ht="18" customHeight="1">
      <c r="A14" s="60" t="n">
        <v>46240</v>
      </c>
      <c r="B14" s="61">
        <f>IF(A14="","",TEXT(A14,"mmm yyyy"))</f>
        <v/>
      </c>
      <c r="C14" s="62" t="inlineStr">
        <is>
          <t>Wholesale Supplier</t>
        </is>
      </c>
      <c r="D14" s="62" t="inlineStr">
        <is>
          <t>Inventory restock</t>
        </is>
      </c>
      <c r="E14" s="62" t="inlineStr">
        <is>
          <t>Inventory (COGS)</t>
        </is>
      </c>
      <c r="F14" s="62" t="inlineStr">
        <is>
          <t>Credit Card</t>
        </is>
      </c>
      <c r="G14" s="63" t="n">
        <v>1980</v>
      </c>
      <c r="H14" s="64" t="inlineStr">
        <is>
          <t>SAMPLE - delete before real use</t>
        </is>
      </c>
      <c r="K14">
        <f>IF($C14="","",IF(COUNTIF($C$3:$C14,$C14)=1,$C14,""))</f>
        <v/>
      </c>
      <c r="L14">
        <f>IF($K14="","",$M14+ROW()/10000000)</f>
        <v/>
      </c>
      <c r="M14">
        <f>IF($K14="","",SUMIF($C$3:$C$1002,$K14,$G$3:$G$1002))</f>
        <v/>
      </c>
      <c r="N14">
        <f>IF($K14="","",COUNTIF($C$3:$C$1002,$K14))</f>
        <v/>
      </c>
      <c r="P14">
        <f>IF($A14="","",$A14*100000+ROW())</f>
        <v/>
      </c>
    </row>
    <row r="15" ht="18" customHeight="1">
      <c r="A15" s="60" t="n"/>
      <c r="B15" s="61">
        <f>IF(A15="","",TEXT(A15,"mmm yyyy"))</f>
        <v/>
      </c>
      <c r="C15" s="62" t="n"/>
      <c r="D15" s="62" t="n"/>
      <c r="E15" s="62" t="n"/>
      <c r="F15" s="62" t="n"/>
      <c r="G15" s="63" t="n"/>
      <c r="H15" s="62" t="n"/>
      <c r="K15">
        <f>IF($C15="","",IF(COUNTIF($C$3:$C15,$C15)=1,$C15,""))</f>
        <v/>
      </c>
      <c r="L15">
        <f>IF($K15="","",$M15+ROW()/10000000)</f>
        <v/>
      </c>
      <c r="M15">
        <f>IF($K15="","",SUMIF($C$3:$C$1002,$K15,$G$3:$G$1002))</f>
        <v/>
      </c>
      <c r="N15">
        <f>IF($K15="","",COUNTIF($C$3:$C$1002,$K15))</f>
        <v/>
      </c>
      <c r="P15">
        <f>IF($A15="","",$A15*100000+ROW())</f>
        <v/>
      </c>
    </row>
    <row r="16" ht="18" customHeight="1">
      <c r="A16" s="60" t="n"/>
      <c r="B16" s="61">
        <f>IF(A16="","",TEXT(A16,"mmm yyyy"))</f>
        <v/>
      </c>
      <c r="C16" s="62" t="n"/>
      <c r="D16" s="62" t="n"/>
      <c r="E16" s="62" t="n"/>
      <c r="F16" s="62" t="n"/>
      <c r="G16" s="63" t="n"/>
      <c r="H16" s="62" t="n"/>
      <c r="K16">
        <f>IF($C16="","",IF(COUNTIF($C$3:$C16,$C16)=1,$C16,""))</f>
        <v/>
      </c>
      <c r="L16">
        <f>IF($K16="","",$M16+ROW()/10000000)</f>
        <v/>
      </c>
      <c r="M16">
        <f>IF($K16="","",SUMIF($C$3:$C$1002,$K16,$G$3:$G$1002))</f>
        <v/>
      </c>
      <c r="N16">
        <f>IF($K16="","",COUNTIF($C$3:$C$1002,$K16))</f>
        <v/>
      </c>
      <c r="P16">
        <f>IF($A16="","",$A16*100000+ROW())</f>
        <v/>
      </c>
    </row>
    <row r="17" ht="18" customHeight="1">
      <c r="A17" s="60" t="n"/>
      <c r="B17" s="61">
        <f>IF(A17="","",TEXT(A17,"mmm yyyy"))</f>
        <v/>
      </c>
      <c r="C17" s="62" t="n"/>
      <c r="D17" s="62" t="n"/>
      <c r="E17" s="62" t="n"/>
      <c r="F17" s="62" t="n"/>
      <c r="G17" s="63" t="n"/>
      <c r="H17" s="62" t="n"/>
      <c r="K17">
        <f>IF($C17="","",IF(COUNTIF($C$3:$C17,$C17)=1,$C17,""))</f>
        <v/>
      </c>
      <c r="L17">
        <f>IF($K17="","",$M17+ROW()/10000000)</f>
        <v/>
      </c>
      <c r="M17">
        <f>IF($K17="","",SUMIF($C$3:$C$1002,$K17,$G$3:$G$1002))</f>
        <v/>
      </c>
      <c r="N17">
        <f>IF($K17="","",COUNTIF($C$3:$C$1002,$K17))</f>
        <v/>
      </c>
      <c r="P17">
        <f>IF($A17="","",$A17*100000+ROW())</f>
        <v/>
      </c>
    </row>
    <row r="18" ht="18" customHeight="1">
      <c r="A18" s="60" t="n"/>
      <c r="B18" s="61">
        <f>IF(A18="","",TEXT(A18,"mmm yyyy"))</f>
        <v/>
      </c>
      <c r="C18" s="62" t="n"/>
      <c r="D18" s="62" t="n"/>
      <c r="E18" s="62" t="n"/>
      <c r="F18" s="62" t="n"/>
      <c r="G18" s="63" t="n"/>
      <c r="H18" s="62" t="n"/>
      <c r="K18">
        <f>IF($C18="","",IF(COUNTIF($C$3:$C18,$C18)=1,$C18,""))</f>
        <v/>
      </c>
      <c r="L18">
        <f>IF($K18="","",$M18+ROW()/10000000)</f>
        <v/>
      </c>
      <c r="M18">
        <f>IF($K18="","",SUMIF($C$3:$C$1002,$K18,$G$3:$G$1002))</f>
        <v/>
      </c>
      <c r="N18">
        <f>IF($K18="","",COUNTIF($C$3:$C$1002,$K18))</f>
        <v/>
      </c>
      <c r="P18">
        <f>IF($A18="","",$A18*100000+ROW())</f>
        <v/>
      </c>
    </row>
    <row r="19" ht="18" customHeight="1">
      <c r="A19" s="60" t="n"/>
      <c r="B19" s="61">
        <f>IF(A19="","",TEXT(A19,"mmm yyyy"))</f>
        <v/>
      </c>
      <c r="C19" s="62" t="n"/>
      <c r="D19" s="62" t="n"/>
      <c r="E19" s="62" t="n"/>
      <c r="F19" s="62" t="n"/>
      <c r="G19" s="63" t="n"/>
      <c r="H19" s="62" t="n"/>
      <c r="K19">
        <f>IF($C19="","",IF(COUNTIF($C$3:$C19,$C19)=1,$C19,""))</f>
        <v/>
      </c>
      <c r="L19">
        <f>IF($K19="","",$M19+ROW()/10000000)</f>
        <v/>
      </c>
      <c r="M19">
        <f>IF($K19="","",SUMIF($C$3:$C$1002,$K19,$G$3:$G$1002))</f>
        <v/>
      </c>
      <c r="N19">
        <f>IF($K19="","",COUNTIF($C$3:$C$1002,$K19))</f>
        <v/>
      </c>
      <c r="P19">
        <f>IF($A19="","",$A19*100000+ROW())</f>
        <v/>
      </c>
    </row>
    <row r="20" ht="18" customHeight="1">
      <c r="A20" s="60" t="n"/>
      <c r="B20" s="61">
        <f>IF(A20="","",TEXT(A20,"mmm yyyy"))</f>
        <v/>
      </c>
      <c r="C20" s="62" t="n"/>
      <c r="D20" s="62" t="n"/>
      <c r="E20" s="62" t="n"/>
      <c r="F20" s="62" t="n"/>
      <c r="G20" s="63" t="n"/>
      <c r="H20" s="62" t="n"/>
      <c r="K20">
        <f>IF($C20="","",IF(COUNTIF($C$3:$C20,$C20)=1,$C20,""))</f>
        <v/>
      </c>
      <c r="L20">
        <f>IF($K20="","",$M20+ROW()/10000000)</f>
        <v/>
      </c>
      <c r="M20">
        <f>IF($K20="","",SUMIF($C$3:$C$1002,$K20,$G$3:$G$1002))</f>
        <v/>
      </c>
      <c r="N20">
        <f>IF($K20="","",COUNTIF($C$3:$C$1002,$K20))</f>
        <v/>
      </c>
      <c r="P20">
        <f>IF($A20="","",$A20*100000+ROW())</f>
        <v/>
      </c>
    </row>
    <row r="21" ht="18" customHeight="1">
      <c r="A21" s="60" t="n"/>
      <c r="B21" s="61">
        <f>IF(A21="","",TEXT(A21,"mmm yyyy"))</f>
        <v/>
      </c>
      <c r="C21" s="62" t="n"/>
      <c r="D21" s="62" t="n"/>
      <c r="E21" s="62" t="n"/>
      <c r="F21" s="62" t="n"/>
      <c r="G21" s="63" t="n"/>
      <c r="H21" s="62" t="n"/>
      <c r="K21">
        <f>IF($C21="","",IF(COUNTIF($C$3:$C21,$C21)=1,$C21,""))</f>
        <v/>
      </c>
      <c r="L21">
        <f>IF($K21="","",$M21+ROW()/10000000)</f>
        <v/>
      </c>
      <c r="M21">
        <f>IF($K21="","",SUMIF($C$3:$C$1002,$K21,$G$3:$G$1002))</f>
        <v/>
      </c>
      <c r="N21">
        <f>IF($K21="","",COUNTIF($C$3:$C$1002,$K21))</f>
        <v/>
      </c>
      <c r="P21">
        <f>IF($A21="","",$A21*100000+ROW())</f>
        <v/>
      </c>
    </row>
    <row r="22" ht="18" customHeight="1">
      <c r="A22" s="60" t="n"/>
      <c r="B22" s="61">
        <f>IF(A22="","",TEXT(A22,"mmm yyyy"))</f>
        <v/>
      </c>
      <c r="C22" s="62" t="n"/>
      <c r="D22" s="62" t="n"/>
      <c r="E22" s="62" t="n"/>
      <c r="F22" s="62" t="n"/>
      <c r="G22" s="63" t="n"/>
      <c r="H22" s="62" t="n"/>
      <c r="K22">
        <f>IF($C22="","",IF(COUNTIF($C$3:$C22,$C22)=1,$C22,""))</f>
        <v/>
      </c>
      <c r="L22">
        <f>IF($K22="","",$M22+ROW()/10000000)</f>
        <v/>
      </c>
      <c r="M22">
        <f>IF($K22="","",SUMIF($C$3:$C$1002,$K22,$G$3:$G$1002))</f>
        <v/>
      </c>
      <c r="N22">
        <f>IF($K22="","",COUNTIF($C$3:$C$1002,$K22))</f>
        <v/>
      </c>
      <c r="P22">
        <f>IF($A22="","",$A22*100000+ROW())</f>
        <v/>
      </c>
    </row>
    <row r="23" ht="18" customHeight="1">
      <c r="A23" s="60" t="n"/>
      <c r="B23" s="61">
        <f>IF(A23="","",TEXT(A23,"mmm yyyy"))</f>
        <v/>
      </c>
      <c r="C23" s="62" t="n"/>
      <c r="D23" s="62" t="n"/>
      <c r="E23" s="62" t="n"/>
      <c r="F23" s="62" t="n"/>
      <c r="G23" s="63" t="n"/>
      <c r="H23" s="62" t="n"/>
      <c r="K23">
        <f>IF($C23="","",IF(COUNTIF($C$3:$C23,$C23)=1,$C23,""))</f>
        <v/>
      </c>
      <c r="L23">
        <f>IF($K23="","",$M23+ROW()/10000000)</f>
        <v/>
      </c>
      <c r="M23">
        <f>IF($K23="","",SUMIF($C$3:$C$1002,$K23,$G$3:$G$1002))</f>
        <v/>
      </c>
      <c r="N23">
        <f>IF($K23="","",COUNTIF($C$3:$C$1002,$K23))</f>
        <v/>
      </c>
      <c r="P23">
        <f>IF($A23="","",$A23*100000+ROW())</f>
        <v/>
      </c>
    </row>
    <row r="24" ht="18" customHeight="1">
      <c r="A24" s="60" t="n"/>
      <c r="B24" s="61">
        <f>IF(A24="","",TEXT(A24,"mmm yyyy"))</f>
        <v/>
      </c>
      <c r="C24" s="62" t="n"/>
      <c r="D24" s="62" t="n"/>
      <c r="E24" s="62" t="n"/>
      <c r="F24" s="62" t="n"/>
      <c r="G24" s="63" t="n"/>
      <c r="H24" s="62" t="n"/>
      <c r="K24">
        <f>IF($C24="","",IF(COUNTIF($C$3:$C24,$C24)=1,$C24,""))</f>
        <v/>
      </c>
      <c r="L24">
        <f>IF($K24="","",$M24+ROW()/10000000)</f>
        <v/>
      </c>
      <c r="M24">
        <f>IF($K24="","",SUMIF($C$3:$C$1002,$K24,$G$3:$G$1002))</f>
        <v/>
      </c>
      <c r="N24">
        <f>IF($K24="","",COUNTIF($C$3:$C$1002,$K24))</f>
        <v/>
      </c>
      <c r="P24">
        <f>IF($A24="","",$A24*100000+ROW())</f>
        <v/>
      </c>
    </row>
    <row r="25" ht="18" customHeight="1">
      <c r="A25" s="60" t="n"/>
      <c r="B25" s="61">
        <f>IF(A25="","",TEXT(A25,"mmm yyyy"))</f>
        <v/>
      </c>
      <c r="C25" s="62" t="n"/>
      <c r="D25" s="62" t="n"/>
      <c r="E25" s="62" t="n"/>
      <c r="F25" s="62" t="n"/>
      <c r="G25" s="63" t="n"/>
      <c r="H25" s="62" t="n"/>
      <c r="K25">
        <f>IF($C25="","",IF(COUNTIF($C$3:$C25,$C25)=1,$C25,""))</f>
        <v/>
      </c>
      <c r="L25">
        <f>IF($K25="","",$M25+ROW()/10000000)</f>
        <v/>
      </c>
      <c r="M25">
        <f>IF($K25="","",SUMIF($C$3:$C$1002,$K25,$G$3:$G$1002))</f>
        <v/>
      </c>
      <c r="N25">
        <f>IF($K25="","",COUNTIF($C$3:$C$1002,$K25))</f>
        <v/>
      </c>
      <c r="P25">
        <f>IF($A25="","",$A25*100000+ROW())</f>
        <v/>
      </c>
    </row>
    <row r="26" ht="18" customHeight="1">
      <c r="A26" s="60" t="n"/>
      <c r="B26" s="61">
        <f>IF(A26="","",TEXT(A26,"mmm yyyy"))</f>
        <v/>
      </c>
      <c r="C26" s="62" t="n"/>
      <c r="D26" s="62" t="n"/>
      <c r="E26" s="62" t="n"/>
      <c r="F26" s="62" t="n"/>
      <c r="G26" s="63" t="n"/>
      <c r="H26" s="62" t="n"/>
      <c r="K26">
        <f>IF($C26="","",IF(COUNTIF($C$3:$C26,$C26)=1,$C26,""))</f>
        <v/>
      </c>
      <c r="L26">
        <f>IF($K26="","",$M26+ROW()/10000000)</f>
        <v/>
      </c>
      <c r="M26">
        <f>IF($K26="","",SUMIF($C$3:$C$1002,$K26,$G$3:$G$1002))</f>
        <v/>
      </c>
      <c r="N26">
        <f>IF($K26="","",COUNTIF($C$3:$C$1002,$K26))</f>
        <v/>
      </c>
      <c r="P26">
        <f>IF($A26="","",$A26*100000+ROW())</f>
        <v/>
      </c>
    </row>
    <row r="27" ht="18" customHeight="1">
      <c r="A27" s="60" t="n"/>
      <c r="B27" s="61">
        <f>IF(A27="","",TEXT(A27,"mmm yyyy"))</f>
        <v/>
      </c>
      <c r="C27" s="62" t="n"/>
      <c r="D27" s="62" t="n"/>
      <c r="E27" s="62" t="n"/>
      <c r="F27" s="62" t="n"/>
      <c r="G27" s="63" t="n"/>
      <c r="H27" s="62" t="n"/>
      <c r="K27">
        <f>IF($C27="","",IF(COUNTIF($C$3:$C27,$C27)=1,$C27,""))</f>
        <v/>
      </c>
      <c r="L27">
        <f>IF($K27="","",$M27+ROW()/10000000)</f>
        <v/>
      </c>
      <c r="M27">
        <f>IF($K27="","",SUMIF($C$3:$C$1002,$K27,$G$3:$G$1002))</f>
        <v/>
      </c>
      <c r="N27">
        <f>IF($K27="","",COUNTIF($C$3:$C$1002,$K27))</f>
        <v/>
      </c>
      <c r="P27">
        <f>IF($A27="","",$A27*100000+ROW())</f>
        <v/>
      </c>
    </row>
    <row r="28" ht="18" customHeight="1">
      <c r="A28" s="60" t="n"/>
      <c r="B28" s="61">
        <f>IF(A28="","",TEXT(A28,"mmm yyyy"))</f>
        <v/>
      </c>
      <c r="C28" s="62" t="n"/>
      <c r="D28" s="62" t="n"/>
      <c r="E28" s="62" t="n"/>
      <c r="F28" s="62" t="n"/>
      <c r="G28" s="63" t="n"/>
      <c r="H28" s="62" t="n"/>
      <c r="K28">
        <f>IF($C28="","",IF(COUNTIF($C$3:$C28,$C28)=1,$C28,""))</f>
        <v/>
      </c>
      <c r="L28">
        <f>IF($K28="","",$M28+ROW()/10000000)</f>
        <v/>
      </c>
      <c r="M28">
        <f>IF($K28="","",SUMIF($C$3:$C$1002,$K28,$G$3:$G$1002))</f>
        <v/>
      </c>
      <c r="N28">
        <f>IF($K28="","",COUNTIF($C$3:$C$1002,$K28))</f>
        <v/>
      </c>
      <c r="P28">
        <f>IF($A28="","",$A28*100000+ROW())</f>
        <v/>
      </c>
    </row>
    <row r="29" ht="18" customHeight="1">
      <c r="A29" s="60" t="n"/>
      <c r="B29" s="61">
        <f>IF(A29="","",TEXT(A29,"mmm yyyy"))</f>
        <v/>
      </c>
      <c r="C29" s="62" t="n"/>
      <c r="D29" s="62" t="n"/>
      <c r="E29" s="62" t="n"/>
      <c r="F29" s="62" t="n"/>
      <c r="G29" s="63" t="n"/>
      <c r="H29" s="62" t="n"/>
      <c r="K29">
        <f>IF($C29="","",IF(COUNTIF($C$3:$C29,$C29)=1,$C29,""))</f>
        <v/>
      </c>
      <c r="L29">
        <f>IF($K29="","",$M29+ROW()/10000000)</f>
        <v/>
      </c>
      <c r="M29">
        <f>IF($K29="","",SUMIF($C$3:$C$1002,$K29,$G$3:$G$1002))</f>
        <v/>
      </c>
      <c r="N29">
        <f>IF($K29="","",COUNTIF($C$3:$C$1002,$K29))</f>
        <v/>
      </c>
      <c r="P29">
        <f>IF($A29="","",$A29*100000+ROW())</f>
        <v/>
      </c>
    </row>
    <row r="30" ht="18" customHeight="1">
      <c r="A30" s="60" t="n"/>
      <c r="B30" s="61">
        <f>IF(A30="","",TEXT(A30,"mmm yyyy"))</f>
        <v/>
      </c>
      <c r="C30" s="62" t="n"/>
      <c r="D30" s="62" t="n"/>
      <c r="E30" s="62" t="n"/>
      <c r="F30" s="62" t="n"/>
      <c r="G30" s="63" t="n"/>
      <c r="H30" s="62" t="n"/>
      <c r="K30">
        <f>IF($C30="","",IF(COUNTIF($C$3:$C30,$C30)=1,$C30,""))</f>
        <v/>
      </c>
      <c r="L30">
        <f>IF($K30="","",$M30+ROW()/10000000)</f>
        <v/>
      </c>
      <c r="M30">
        <f>IF($K30="","",SUMIF($C$3:$C$1002,$K30,$G$3:$G$1002))</f>
        <v/>
      </c>
      <c r="N30">
        <f>IF($K30="","",COUNTIF($C$3:$C$1002,$K30))</f>
        <v/>
      </c>
      <c r="P30">
        <f>IF($A30="","",$A30*100000+ROW())</f>
        <v/>
      </c>
    </row>
    <row r="31" ht="18" customHeight="1">
      <c r="A31" s="60" t="n"/>
      <c r="B31" s="61">
        <f>IF(A31="","",TEXT(A31,"mmm yyyy"))</f>
        <v/>
      </c>
      <c r="C31" s="62" t="n"/>
      <c r="D31" s="62" t="n"/>
      <c r="E31" s="62" t="n"/>
      <c r="F31" s="62" t="n"/>
      <c r="G31" s="63" t="n"/>
      <c r="H31" s="62" t="n"/>
      <c r="K31">
        <f>IF($C31="","",IF(COUNTIF($C$3:$C31,$C31)=1,$C31,""))</f>
        <v/>
      </c>
      <c r="L31">
        <f>IF($K31="","",$M31+ROW()/10000000)</f>
        <v/>
      </c>
      <c r="M31">
        <f>IF($K31="","",SUMIF($C$3:$C$1002,$K31,$G$3:$G$1002))</f>
        <v/>
      </c>
      <c r="N31">
        <f>IF($K31="","",COUNTIF($C$3:$C$1002,$K31))</f>
        <v/>
      </c>
      <c r="P31">
        <f>IF($A31="","",$A31*100000+ROW())</f>
        <v/>
      </c>
    </row>
    <row r="32" ht="18" customHeight="1">
      <c r="A32" s="60" t="n"/>
      <c r="B32" s="61">
        <f>IF(A32="","",TEXT(A32,"mmm yyyy"))</f>
        <v/>
      </c>
      <c r="C32" s="62" t="n"/>
      <c r="D32" s="62" t="n"/>
      <c r="E32" s="62" t="n"/>
      <c r="F32" s="62" t="n"/>
      <c r="G32" s="63" t="n"/>
      <c r="H32" s="62" t="n"/>
      <c r="K32">
        <f>IF($C32="","",IF(COUNTIF($C$3:$C32,$C32)=1,$C32,""))</f>
        <v/>
      </c>
      <c r="L32">
        <f>IF($K32="","",$M32+ROW()/10000000)</f>
        <v/>
      </c>
      <c r="M32">
        <f>IF($K32="","",SUMIF($C$3:$C$1002,$K32,$G$3:$G$1002))</f>
        <v/>
      </c>
      <c r="N32">
        <f>IF($K32="","",COUNTIF($C$3:$C$1002,$K32))</f>
        <v/>
      </c>
      <c r="P32">
        <f>IF($A32="","",$A32*100000+ROW())</f>
        <v/>
      </c>
    </row>
    <row r="33" ht="18" customHeight="1">
      <c r="A33" s="60" t="n"/>
      <c r="B33" s="61">
        <f>IF(A33="","",TEXT(A33,"mmm yyyy"))</f>
        <v/>
      </c>
      <c r="C33" s="62" t="n"/>
      <c r="D33" s="62" t="n"/>
      <c r="E33" s="62" t="n"/>
      <c r="F33" s="62" t="n"/>
      <c r="G33" s="63" t="n"/>
      <c r="H33" s="62" t="n"/>
      <c r="K33">
        <f>IF($C33="","",IF(COUNTIF($C$3:$C33,$C33)=1,$C33,""))</f>
        <v/>
      </c>
      <c r="L33">
        <f>IF($K33="","",$M33+ROW()/10000000)</f>
        <v/>
      </c>
      <c r="M33">
        <f>IF($K33="","",SUMIF($C$3:$C$1002,$K33,$G$3:$G$1002))</f>
        <v/>
      </c>
      <c r="N33">
        <f>IF($K33="","",COUNTIF($C$3:$C$1002,$K33))</f>
        <v/>
      </c>
      <c r="P33">
        <f>IF($A33="","",$A33*100000+ROW())</f>
        <v/>
      </c>
    </row>
    <row r="34" ht="18" customHeight="1">
      <c r="A34" s="60" t="n"/>
      <c r="B34" s="61">
        <f>IF(A34="","",TEXT(A34,"mmm yyyy"))</f>
        <v/>
      </c>
      <c r="C34" s="62" t="n"/>
      <c r="D34" s="62" t="n"/>
      <c r="E34" s="62" t="n"/>
      <c r="F34" s="62" t="n"/>
      <c r="G34" s="63" t="n"/>
      <c r="H34" s="62" t="n"/>
      <c r="K34">
        <f>IF($C34="","",IF(COUNTIF($C$3:$C34,$C34)=1,$C34,""))</f>
        <v/>
      </c>
      <c r="L34">
        <f>IF($K34="","",$M34+ROW()/10000000)</f>
        <v/>
      </c>
      <c r="M34">
        <f>IF($K34="","",SUMIF($C$3:$C$1002,$K34,$G$3:$G$1002))</f>
        <v/>
      </c>
      <c r="N34">
        <f>IF($K34="","",COUNTIF($C$3:$C$1002,$K34))</f>
        <v/>
      </c>
      <c r="P34">
        <f>IF($A34="","",$A34*100000+ROW())</f>
        <v/>
      </c>
    </row>
    <row r="35" ht="18" customHeight="1">
      <c r="A35" s="60" t="n"/>
      <c r="B35" s="61">
        <f>IF(A35="","",TEXT(A35,"mmm yyyy"))</f>
        <v/>
      </c>
      <c r="C35" s="62" t="n"/>
      <c r="D35" s="62" t="n"/>
      <c r="E35" s="62" t="n"/>
      <c r="F35" s="62" t="n"/>
      <c r="G35" s="63" t="n"/>
      <c r="H35" s="62" t="n"/>
      <c r="K35">
        <f>IF($C35="","",IF(COUNTIF($C$3:$C35,$C35)=1,$C35,""))</f>
        <v/>
      </c>
      <c r="L35">
        <f>IF($K35="","",$M35+ROW()/10000000)</f>
        <v/>
      </c>
      <c r="M35">
        <f>IF($K35="","",SUMIF($C$3:$C$1002,$K35,$G$3:$G$1002))</f>
        <v/>
      </c>
      <c r="N35">
        <f>IF($K35="","",COUNTIF($C$3:$C$1002,$K35))</f>
        <v/>
      </c>
      <c r="P35">
        <f>IF($A35="","",$A35*100000+ROW())</f>
        <v/>
      </c>
    </row>
    <row r="36" ht="18" customHeight="1">
      <c r="A36" s="60" t="n"/>
      <c r="B36" s="61">
        <f>IF(A36="","",TEXT(A36,"mmm yyyy"))</f>
        <v/>
      </c>
      <c r="C36" s="62" t="n"/>
      <c r="D36" s="62" t="n"/>
      <c r="E36" s="62" t="n"/>
      <c r="F36" s="62" t="n"/>
      <c r="G36" s="63" t="n"/>
      <c r="H36" s="62" t="n"/>
      <c r="K36">
        <f>IF($C36="","",IF(COUNTIF($C$3:$C36,$C36)=1,$C36,""))</f>
        <v/>
      </c>
      <c r="L36">
        <f>IF($K36="","",$M36+ROW()/10000000)</f>
        <v/>
      </c>
      <c r="M36">
        <f>IF($K36="","",SUMIF($C$3:$C$1002,$K36,$G$3:$G$1002))</f>
        <v/>
      </c>
      <c r="N36">
        <f>IF($K36="","",COUNTIF($C$3:$C$1002,$K36))</f>
        <v/>
      </c>
      <c r="P36">
        <f>IF($A36="","",$A36*100000+ROW())</f>
        <v/>
      </c>
    </row>
    <row r="37" ht="18" customHeight="1">
      <c r="A37" s="60" t="n"/>
      <c r="B37" s="61">
        <f>IF(A37="","",TEXT(A37,"mmm yyyy"))</f>
        <v/>
      </c>
      <c r="C37" s="62" t="n"/>
      <c r="D37" s="62" t="n"/>
      <c r="E37" s="62" t="n"/>
      <c r="F37" s="62" t="n"/>
      <c r="G37" s="63" t="n"/>
      <c r="H37" s="62" t="n"/>
      <c r="K37">
        <f>IF($C37="","",IF(COUNTIF($C$3:$C37,$C37)=1,$C37,""))</f>
        <v/>
      </c>
      <c r="L37">
        <f>IF($K37="","",$M37+ROW()/10000000)</f>
        <v/>
      </c>
      <c r="M37">
        <f>IF($K37="","",SUMIF($C$3:$C$1002,$K37,$G$3:$G$1002))</f>
        <v/>
      </c>
      <c r="N37">
        <f>IF($K37="","",COUNTIF($C$3:$C$1002,$K37))</f>
        <v/>
      </c>
      <c r="P37">
        <f>IF($A37="","",$A37*100000+ROW())</f>
        <v/>
      </c>
    </row>
    <row r="38" ht="18" customHeight="1">
      <c r="A38" s="60" t="n"/>
      <c r="B38" s="61">
        <f>IF(A38="","",TEXT(A38,"mmm yyyy"))</f>
        <v/>
      </c>
      <c r="C38" s="62" t="n"/>
      <c r="D38" s="62" t="n"/>
      <c r="E38" s="62" t="n"/>
      <c r="F38" s="62" t="n"/>
      <c r="G38" s="63" t="n"/>
      <c r="H38" s="62" t="n"/>
      <c r="K38">
        <f>IF($C38="","",IF(COUNTIF($C$3:$C38,$C38)=1,$C38,""))</f>
        <v/>
      </c>
      <c r="L38">
        <f>IF($K38="","",$M38+ROW()/10000000)</f>
        <v/>
      </c>
      <c r="M38">
        <f>IF($K38="","",SUMIF($C$3:$C$1002,$K38,$G$3:$G$1002))</f>
        <v/>
      </c>
      <c r="N38">
        <f>IF($K38="","",COUNTIF($C$3:$C$1002,$K38))</f>
        <v/>
      </c>
      <c r="P38">
        <f>IF($A38="","",$A38*100000+ROW())</f>
        <v/>
      </c>
    </row>
    <row r="39" ht="18" customHeight="1">
      <c r="A39" s="60" t="n"/>
      <c r="B39" s="61">
        <f>IF(A39="","",TEXT(A39,"mmm yyyy"))</f>
        <v/>
      </c>
      <c r="C39" s="62" t="n"/>
      <c r="D39" s="62" t="n"/>
      <c r="E39" s="62" t="n"/>
      <c r="F39" s="62" t="n"/>
      <c r="G39" s="63" t="n"/>
      <c r="H39" s="62" t="n"/>
      <c r="K39">
        <f>IF($C39="","",IF(COUNTIF($C$3:$C39,$C39)=1,$C39,""))</f>
        <v/>
      </c>
      <c r="L39">
        <f>IF($K39="","",$M39+ROW()/10000000)</f>
        <v/>
      </c>
      <c r="M39">
        <f>IF($K39="","",SUMIF($C$3:$C$1002,$K39,$G$3:$G$1002))</f>
        <v/>
      </c>
      <c r="N39">
        <f>IF($K39="","",COUNTIF($C$3:$C$1002,$K39))</f>
        <v/>
      </c>
      <c r="P39">
        <f>IF($A39="","",$A39*100000+ROW())</f>
        <v/>
      </c>
    </row>
    <row r="40" ht="18" customHeight="1">
      <c r="A40" s="60" t="n"/>
      <c r="B40" s="61">
        <f>IF(A40="","",TEXT(A40,"mmm yyyy"))</f>
        <v/>
      </c>
      <c r="C40" s="62" t="n"/>
      <c r="D40" s="62" t="n"/>
      <c r="E40" s="62" t="n"/>
      <c r="F40" s="62" t="n"/>
      <c r="G40" s="63" t="n"/>
      <c r="H40" s="62" t="n"/>
      <c r="K40">
        <f>IF($C40="","",IF(COUNTIF($C$3:$C40,$C40)=1,$C40,""))</f>
        <v/>
      </c>
      <c r="L40">
        <f>IF($K40="","",$M40+ROW()/10000000)</f>
        <v/>
      </c>
      <c r="M40">
        <f>IF($K40="","",SUMIF($C$3:$C$1002,$K40,$G$3:$G$1002))</f>
        <v/>
      </c>
      <c r="N40">
        <f>IF($K40="","",COUNTIF($C$3:$C$1002,$K40))</f>
        <v/>
      </c>
      <c r="P40">
        <f>IF($A40="","",$A40*100000+ROW())</f>
        <v/>
      </c>
    </row>
    <row r="41" ht="18" customHeight="1">
      <c r="A41" s="60" t="n"/>
      <c r="B41" s="61">
        <f>IF(A41="","",TEXT(A41,"mmm yyyy"))</f>
        <v/>
      </c>
      <c r="C41" s="62" t="n"/>
      <c r="D41" s="62" t="n"/>
      <c r="E41" s="62" t="n"/>
      <c r="F41" s="62" t="n"/>
      <c r="G41" s="63" t="n"/>
      <c r="H41" s="62" t="n"/>
      <c r="K41">
        <f>IF($C41="","",IF(COUNTIF($C$3:$C41,$C41)=1,$C41,""))</f>
        <v/>
      </c>
      <c r="L41">
        <f>IF($K41="","",$M41+ROW()/10000000)</f>
        <v/>
      </c>
      <c r="M41">
        <f>IF($K41="","",SUMIF($C$3:$C$1002,$K41,$G$3:$G$1002))</f>
        <v/>
      </c>
      <c r="N41">
        <f>IF($K41="","",COUNTIF($C$3:$C$1002,$K41))</f>
        <v/>
      </c>
      <c r="P41">
        <f>IF($A41="","",$A41*100000+ROW())</f>
        <v/>
      </c>
    </row>
    <row r="42" ht="18" customHeight="1">
      <c r="A42" s="60" t="n"/>
      <c r="B42" s="61">
        <f>IF(A42="","",TEXT(A42,"mmm yyyy"))</f>
        <v/>
      </c>
      <c r="C42" s="62" t="n"/>
      <c r="D42" s="62" t="n"/>
      <c r="E42" s="62" t="n"/>
      <c r="F42" s="62" t="n"/>
      <c r="G42" s="63" t="n"/>
      <c r="H42" s="62" t="n"/>
      <c r="K42">
        <f>IF($C42="","",IF(COUNTIF($C$3:$C42,$C42)=1,$C42,""))</f>
        <v/>
      </c>
      <c r="L42">
        <f>IF($K42="","",$M42+ROW()/10000000)</f>
        <v/>
      </c>
      <c r="M42">
        <f>IF($K42="","",SUMIF($C$3:$C$1002,$K42,$G$3:$G$1002))</f>
        <v/>
      </c>
      <c r="N42">
        <f>IF($K42="","",COUNTIF($C$3:$C$1002,$K42))</f>
        <v/>
      </c>
      <c r="P42">
        <f>IF($A42="","",$A42*100000+ROW())</f>
        <v/>
      </c>
    </row>
    <row r="43" ht="18" customHeight="1">
      <c r="A43" s="60" t="n"/>
      <c r="B43" s="61">
        <f>IF(A43="","",TEXT(A43,"mmm yyyy"))</f>
        <v/>
      </c>
      <c r="C43" s="62" t="n"/>
      <c r="D43" s="62" t="n"/>
      <c r="E43" s="62" t="n"/>
      <c r="F43" s="62" t="n"/>
      <c r="G43" s="63" t="n"/>
      <c r="H43" s="62" t="n"/>
      <c r="K43">
        <f>IF($C43="","",IF(COUNTIF($C$3:$C43,$C43)=1,$C43,""))</f>
        <v/>
      </c>
      <c r="L43">
        <f>IF($K43="","",$M43+ROW()/10000000)</f>
        <v/>
      </c>
      <c r="M43">
        <f>IF($K43="","",SUMIF($C$3:$C$1002,$K43,$G$3:$G$1002))</f>
        <v/>
      </c>
      <c r="N43">
        <f>IF($K43="","",COUNTIF($C$3:$C$1002,$K43))</f>
        <v/>
      </c>
      <c r="P43">
        <f>IF($A43="","",$A43*100000+ROW())</f>
        <v/>
      </c>
    </row>
    <row r="44" ht="18" customHeight="1">
      <c r="A44" s="60" t="n"/>
      <c r="B44" s="61">
        <f>IF(A44="","",TEXT(A44,"mmm yyyy"))</f>
        <v/>
      </c>
      <c r="C44" s="62" t="n"/>
      <c r="D44" s="62" t="n"/>
      <c r="E44" s="62" t="n"/>
      <c r="F44" s="62" t="n"/>
      <c r="G44" s="63" t="n"/>
      <c r="H44" s="62" t="n"/>
      <c r="K44">
        <f>IF($C44="","",IF(COUNTIF($C$3:$C44,$C44)=1,$C44,""))</f>
        <v/>
      </c>
      <c r="L44">
        <f>IF($K44="","",$M44+ROW()/10000000)</f>
        <v/>
      </c>
      <c r="M44">
        <f>IF($K44="","",SUMIF($C$3:$C$1002,$K44,$G$3:$G$1002))</f>
        <v/>
      </c>
      <c r="N44">
        <f>IF($K44="","",COUNTIF($C$3:$C$1002,$K44))</f>
        <v/>
      </c>
      <c r="P44">
        <f>IF($A44="","",$A44*100000+ROW())</f>
        <v/>
      </c>
    </row>
    <row r="45" ht="18" customHeight="1">
      <c r="A45" s="60" t="n"/>
      <c r="B45" s="61">
        <f>IF(A45="","",TEXT(A45,"mmm yyyy"))</f>
        <v/>
      </c>
      <c r="C45" s="62" t="n"/>
      <c r="D45" s="62" t="n"/>
      <c r="E45" s="62" t="n"/>
      <c r="F45" s="62" t="n"/>
      <c r="G45" s="63" t="n"/>
      <c r="H45" s="62" t="n"/>
      <c r="K45">
        <f>IF($C45="","",IF(COUNTIF($C$3:$C45,$C45)=1,$C45,""))</f>
        <v/>
      </c>
      <c r="L45">
        <f>IF($K45="","",$M45+ROW()/10000000)</f>
        <v/>
      </c>
      <c r="M45">
        <f>IF($K45="","",SUMIF($C$3:$C$1002,$K45,$G$3:$G$1002))</f>
        <v/>
      </c>
      <c r="N45">
        <f>IF($K45="","",COUNTIF($C$3:$C$1002,$K45))</f>
        <v/>
      </c>
      <c r="P45">
        <f>IF($A45="","",$A45*100000+ROW())</f>
        <v/>
      </c>
    </row>
    <row r="46" ht="18" customHeight="1">
      <c r="A46" s="60" t="n"/>
      <c r="B46" s="61">
        <f>IF(A46="","",TEXT(A46,"mmm yyyy"))</f>
        <v/>
      </c>
      <c r="C46" s="62" t="n"/>
      <c r="D46" s="62" t="n"/>
      <c r="E46" s="62" t="n"/>
      <c r="F46" s="62" t="n"/>
      <c r="G46" s="63" t="n"/>
      <c r="H46" s="62" t="n"/>
      <c r="K46">
        <f>IF($C46="","",IF(COUNTIF($C$3:$C46,$C46)=1,$C46,""))</f>
        <v/>
      </c>
      <c r="L46">
        <f>IF($K46="","",$M46+ROW()/10000000)</f>
        <v/>
      </c>
      <c r="M46">
        <f>IF($K46="","",SUMIF($C$3:$C$1002,$K46,$G$3:$G$1002))</f>
        <v/>
      </c>
      <c r="N46">
        <f>IF($K46="","",COUNTIF($C$3:$C$1002,$K46))</f>
        <v/>
      </c>
      <c r="P46">
        <f>IF($A46="","",$A46*100000+ROW())</f>
        <v/>
      </c>
    </row>
    <row r="47" ht="18" customHeight="1">
      <c r="A47" s="60" t="n"/>
      <c r="B47" s="61">
        <f>IF(A47="","",TEXT(A47,"mmm yyyy"))</f>
        <v/>
      </c>
      <c r="C47" s="62" t="n"/>
      <c r="D47" s="62" t="n"/>
      <c r="E47" s="62" t="n"/>
      <c r="F47" s="62" t="n"/>
      <c r="G47" s="63" t="n"/>
      <c r="H47" s="62" t="n"/>
      <c r="K47">
        <f>IF($C47="","",IF(COUNTIF($C$3:$C47,$C47)=1,$C47,""))</f>
        <v/>
      </c>
      <c r="L47">
        <f>IF($K47="","",$M47+ROW()/10000000)</f>
        <v/>
      </c>
      <c r="M47">
        <f>IF($K47="","",SUMIF($C$3:$C$1002,$K47,$G$3:$G$1002))</f>
        <v/>
      </c>
      <c r="N47">
        <f>IF($K47="","",COUNTIF($C$3:$C$1002,$K47))</f>
        <v/>
      </c>
      <c r="P47">
        <f>IF($A47="","",$A47*100000+ROW())</f>
        <v/>
      </c>
    </row>
    <row r="48" ht="18" customHeight="1">
      <c r="A48" s="60" t="n"/>
      <c r="B48" s="61">
        <f>IF(A48="","",TEXT(A48,"mmm yyyy"))</f>
        <v/>
      </c>
      <c r="C48" s="62" t="n"/>
      <c r="D48" s="62" t="n"/>
      <c r="E48" s="62" t="n"/>
      <c r="F48" s="62" t="n"/>
      <c r="G48" s="63" t="n"/>
      <c r="H48" s="62" t="n"/>
      <c r="K48">
        <f>IF($C48="","",IF(COUNTIF($C$3:$C48,$C48)=1,$C48,""))</f>
        <v/>
      </c>
      <c r="L48">
        <f>IF($K48="","",$M48+ROW()/10000000)</f>
        <v/>
      </c>
      <c r="M48">
        <f>IF($K48="","",SUMIF($C$3:$C$1002,$K48,$G$3:$G$1002))</f>
        <v/>
      </c>
      <c r="N48">
        <f>IF($K48="","",COUNTIF($C$3:$C$1002,$K48))</f>
        <v/>
      </c>
      <c r="P48">
        <f>IF($A48="","",$A48*100000+ROW())</f>
        <v/>
      </c>
    </row>
    <row r="49" ht="18" customHeight="1">
      <c r="A49" s="60" t="n"/>
      <c r="B49" s="61">
        <f>IF(A49="","",TEXT(A49,"mmm yyyy"))</f>
        <v/>
      </c>
      <c r="C49" s="62" t="n"/>
      <c r="D49" s="62" t="n"/>
      <c r="E49" s="62" t="n"/>
      <c r="F49" s="62" t="n"/>
      <c r="G49" s="63" t="n"/>
      <c r="H49" s="62" t="n"/>
      <c r="K49">
        <f>IF($C49="","",IF(COUNTIF($C$3:$C49,$C49)=1,$C49,""))</f>
        <v/>
      </c>
      <c r="L49">
        <f>IF($K49="","",$M49+ROW()/10000000)</f>
        <v/>
      </c>
      <c r="M49">
        <f>IF($K49="","",SUMIF($C$3:$C$1002,$K49,$G$3:$G$1002))</f>
        <v/>
      </c>
      <c r="N49">
        <f>IF($K49="","",COUNTIF($C$3:$C$1002,$K49))</f>
        <v/>
      </c>
      <c r="P49">
        <f>IF($A49="","",$A49*100000+ROW())</f>
        <v/>
      </c>
    </row>
    <row r="50" ht="18" customHeight="1">
      <c r="A50" s="60" t="n"/>
      <c r="B50" s="61">
        <f>IF(A50="","",TEXT(A50,"mmm yyyy"))</f>
        <v/>
      </c>
      <c r="C50" s="62" t="n"/>
      <c r="D50" s="62" t="n"/>
      <c r="E50" s="62" t="n"/>
      <c r="F50" s="62" t="n"/>
      <c r="G50" s="63" t="n"/>
      <c r="H50" s="62" t="n"/>
      <c r="K50">
        <f>IF($C50="","",IF(COUNTIF($C$3:$C50,$C50)=1,$C50,""))</f>
        <v/>
      </c>
      <c r="L50">
        <f>IF($K50="","",$M50+ROW()/10000000)</f>
        <v/>
      </c>
      <c r="M50">
        <f>IF($K50="","",SUMIF($C$3:$C$1002,$K50,$G$3:$G$1002))</f>
        <v/>
      </c>
      <c r="N50">
        <f>IF($K50="","",COUNTIF($C$3:$C$1002,$K50))</f>
        <v/>
      </c>
      <c r="P50">
        <f>IF($A50="","",$A50*100000+ROW())</f>
        <v/>
      </c>
    </row>
    <row r="51" ht="18" customHeight="1">
      <c r="A51" s="60" t="n"/>
      <c r="B51" s="61">
        <f>IF(A51="","",TEXT(A51,"mmm yyyy"))</f>
        <v/>
      </c>
      <c r="C51" s="62" t="n"/>
      <c r="D51" s="62" t="n"/>
      <c r="E51" s="62" t="n"/>
      <c r="F51" s="62" t="n"/>
      <c r="G51" s="63" t="n"/>
      <c r="H51" s="62" t="n"/>
      <c r="K51">
        <f>IF($C51="","",IF(COUNTIF($C$3:$C51,$C51)=1,$C51,""))</f>
        <v/>
      </c>
      <c r="L51">
        <f>IF($K51="","",$M51+ROW()/10000000)</f>
        <v/>
      </c>
      <c r="M51">
        <f>IF($K51="","",SUMIF($C$3:$C$1002,$K51,$G$3:$G$1002))</f>
        <v/>
      </c>
      <c r="N51">
        <f>IF($K51="","",COUNTIF($C$3:$C$1002,$K51))</f>
        <v/>
      </c>
      <c r="P51">
        <f>IF($A51="","",$A51*100000+ROW())</f>
        <v/>
      </c>
    </row>
    <row r="52" ht="18" customHeight="1">
      <c r="A52" s="60" t="n"/>
      <c r="B52" s="61">
        <f>IF(A52="","",TEXT(A52,"mmm yyyy"))</f>
        <v/>
      </c>
      <c r="C52" s="62" t="n"/>
      <c r="D52" s="62" t="n"/>
      <c r="E52" s="62" t="n"/>
      <c r="F52" s="62" t="n"/>
      <c r="G52" s="63" t="n"/>
      <c r="H52" s="62" t="n"/>
      <c r="K52">
        <f>IF($C52="","",IF(COUNTIF($C$3:$C52,$C52)=1,$C52,""))</f>
        <v/>
      </c>
      <c r="L52">
        <f>IF($K52="","",$M52+ROW()/10000000)</f>
        <v/>
      </c>
      <c r="M52">
        <f>IF($K52="","",SUMIF($C$3:$C$1002,$K52,$G$3:$G$1002))</f>
        <v/>
      </c>
      <c r="N52">
        <f>IF($K52="","",COUNTIF($C$3:$C$1002,$K52))</f>
        <v/>
      </c>
      <c r="P52">
        <f>IF($A52="","",$A52*100000+ROW())</f>
        <v/>
      </c>
    </row>
    <row r="53" ht="18" customHeight="1">
      <c r="A53" s="60" t="n"/>
      <c r="B53" s="61">
        <f>IF(A53="","",TEXT(A53,"mmm yyyy"))</f>
        <v/>
      </c>
      <c r="C53" s="62" t="n"/>
      <c r="D53" s="62" t="n"/>
      <c r="E53" s="62" t="n"/>
      <c r="F53" s="62" t="n"/>
      <c r="G53" s="63" t="n"/>
      <c r="H53" s="62" t="n"/>
      <c r="K53">
        <f>IF($C53="","",IF(COUNTIF($C$3:$C53,$C53)=1,$C53,""))</f>
        <v/>
      </c>
      <c r="L53">
        <f>IF($K53="","",$M53+ROW()/10000000)</f>
        <v/>
      </c>
      <c r="M53">
        <f>IF($K53="","",SUMIF($C$3:$C$1002,$K53,$G$3:$G$1002))</f>
        <v/>
      </c>
      <c r="N53">
        <f>IF($K53="","",COUNTIF($C$3:$C$1002,$K53))</f>
        <v/>
      </c>
      <c r="P53">
        <f>IF($A53="","",$A53*100000+ROW())</f>
        <v/>
      </c>
    </row>
    <row r="54" ht="18" customHeight="1">
      <c r="A54" s="60" t="n"/>
      <c r="B54" s="61">
        <f>IF(A54="","",TEXT(A54,"mmm yyyy"))</f>
        <v/>
      </c>
      <c r="C54" s="62" t="n"/>
      <c r="D54" s="62" t="n"/>
      <c r="E54" s="62" t="n"/>
      <c r="F54" s="62" t="n"/>
      <c r="G54" s="63" t="n"/>
      <c r="H54" s="62" t="n"/>
      <c r="K54">
        <f>IF($C54="","",IF(COUNTIF($C$3:$C54,$C54)=1,$C54,""))</f>
        <v/>
      </c>
      <c r="L54">
        <f>IF($K54="","",$M54+ROW()/10000000)</f>
        <v/>
      </c>
      <c r="M54">
        <f>IF($K54="","",SUMIF($C$3:$C$1002,$K54,$G$3:$G$1002))</f>
        <v/>
      </c>
      <c r="N54">
        <f>IF($K54="","",COUNTIF($C$3:$C$1002,$K54))</f>
        <v/>
      </c>
      <c r="P54">
        <f>IF($A54="","",$A54*100000+ROW())</f>
        <v/>
      </c>
    </row>
    <row r="55" ht="18" customHeight="1">
      <c r="A55" s="60" t="n"/>
      <c r="B55" s="61">
        <f>IF(A55="","",TEXT(A55,"mmm yyyy"))</f>
        <v/>
      </c>
      <c r="C55" s="62" t="n"/>
      <c r="D55" s="62" t="n"/>
      <c r="E55" s="62" t="n"/>
      <c r="F55" s="62" t="n"/>
      <c r="G55" s="63" t="n"/>
      <c r="H55" s="62" t="n"/>
      <c r="K55">
        <f>IF($C55="","",IF(COUNTIF($C$3:$C55,$C55)=1,$C55,""))</f>
        <v/>
      </c>
      <c r="L55">
        <f>IF($K55="","",$M55+ROW()/10000000)</f>
        <v/>
      </c>
      <c r="M55">
        <f>IF($K55="","",SUMIF($C$3:$C$1002,$K55,$G$3:$G$1002))</f>
        <v/>
      </c>
      <c r="N55">
        <f>IF($K55="","",COUNTIF($C$3:$C$1002,$K55))</f>
        <v/>
      </c>
      <c r="P55">
        <f>IF($A55="","",$A55*100000+ROW())</f>
        <v/>
      </c>
    </row>
    <row r="56" ht="18" customHeight="1">
      <c r="A56" s="60" t="n"/>
      <c r="B56" s="61">
        <f>IF(A56="","",TEXT(A56,"mmm yyyy"))</f>
        <v/>
      </c>
      <c r="C56" s="62" t="n"/>
      <c r="D56" s="62" t="n"/>
      <c r="E56" s="62" t="n"/>
      <c r="F56" s="62" t="n"/>
      <c r="G56" s="63" t="n"/>
      <c r="H56" s="62" t="n"/>
      <c r="K56">
        <f>IF($C56="","",IF(COUNTIF($C$3:$C56,$C56)=1,$C56,""))</f>
        <v/>
      </c>
      <c r="L56">
        <f>IF($K56="","",$M56+ROW()/10000000)</f>
        <v/>
      </c>
      <c r="M56">
        <f>IF($K56="","",SUMIF($C$3:$C$1002,$K56,$G$3:$G$1002))</f>
        <v/>
      </c>
      <c r="N56">
        <f>IF($K56="","",COUNTIF($C$3:$C$1002,$K56))</f>
        <v/>
      </c>
      <c r="P56">
        <f>IF($A56="","",$A56*100000+ROW())</f>
        <v/>
      </c>
    </row>
    <row r="57" ht="18" customHeight="1">
      <c r="A57" s="60" t="n"/>
      <c r="B57" s="61">
        <f>IF(A57="","",TEXT(A57,"mmm yyyy"))</f>
        <v/>
      </c>
      <c r="C57" s="62" t="n"/>
      <c r="D57" s="62" t="n"/>
      <c r="E57" s="62" t="n"/>
      <c r="F57" s="62" t="n"/>
      <c r="G57" s="63" t="n"/>
      <c r="H57" s="62" t="n"/>
      <c r="K57">
        <f>IF($C57="","",IF(COUNTIF($C$3:$C57,$C57)=1,$C57,""))</f>
        <v/>
      </c>
      <c r="L57">
        <f>IF($K57="","",$M57+ROW()/10000000)</f>
        <v/>
      </c>
      <c r="M57">
        <f>IF($K57="","",SUMIF($C$3:$C$1002,$K57,$G$3:$G$1002))</f>
        <v/>
      </c>
      <c r="N57">
        <f>IF($K57="","",COUNTIF($C$3:$C$1002,$K57))</f>
        <v/>
      </c>
      <c r="P57">
        <f>IF($A57="","",$A57*100000+ROW())</f>
        <v/>
      </c>
    </row>
    <row r="58" ht="18" customHeight="1">
      <c r="A58" s="60" t="n"/>
      <c r="B58" s="61">
        <f>IF(A58="","",TEXT(A58,"mmm yyyy"))</f>
        <v/>
      </c>
      <c r="C58" s="62" t="n"/>
      <c r="D58" s="62" t="n"/>
      <c r="E58" s="62" t="n"/>
      <c r="F58" s="62" t="n"/>
      <c r="G58" s="63" t="n"/>
      <c r="H58" s="62" t="n"/>
      <c r="K58">
        <f>IF($C58="","",IF(COUNTIF($C$3:$C58,$C58)=1,$C58,""))</f>
        <v/>
      </c>
      <c r="L58">
        <f>IF($K58="","",$M58+ROW()/10000000)</f>
        <v/>
      </c>
      <c r="M58">
        <f>IF($K58="","",SUMIF($C$3:$C$1002,$K58,$G$3:$G$1002))</f>
        <v/>
      </c>
      <c r="N58">
        <f>IF($K58="","",COUNTIF($C$3:$C$1002,$K58))</f>
        <v/>
      </c>
      <c r="P58">
        <f>IF($A58="","",$A58*100000+ROW())</f>
        <v/>
      </c>
    </row>
    <row r="59" ht="18" customHeight="1">
      <c r="A59" s="60" t="n"/>
      <c r="B59" s="61">
        <f>IF(A59="","",TEXT(A59,"mmm yyyy"))</f>
        <v/>
      </c>
      <c r="C59" s="62" t="n"/>
      <c r="D59" s="62" t="n"/>
      <c r="E59" s="62" t="n"/>
      <c r="F59" s="62" t="n"/>
      <c r="G59" s="63" t="n"/>
      <c r="H59" s="62" t="n"/>
      <c r="K59">
        <f>IF($C59="","",IF(COUNTIF($C$3:$C59,$C59)=1,$C59,""))</f>
        <v/>
      </c>
      <c r="L59">
        <f>IF($K59="","",$M59+ROW()/10000000)</f>
        <v/>
      </c>
      <c r="M59">
        <f>IF($K59="","",SUMIF($C$3:$C$1002,$K59,$G$3:$G$1002))</f>
        <v/>
      </c>
      <c r="N59">
        <f>IF($K59="","",COUNTIF($C$3:$C$1002,$K59))</f>
        <v/>
      </c>
      <c r="P59">
        <f>IF($A59="","",$A59*100000+ROW())</f>
        <v/>
      </c>
    </row>
    <row r="60" ht="18" customHeight="1">
      <c r="A60" s="60" t="n"/>
      <c r="B60" s="61">
        <f>IF(A60="","",TEXT(A60,"mmm yyyy"))</f>
        <v/>
      </c>
      <c r="C60" s="62" t="n"/>
      <c r="D60" s="62" t="n"/>
      <c r="E60" s="62" t="n"/>
      <c r="F60" s="62" t="n"/>
      <c r="G60" s="63" t="n"/>
      <c r="H60" s="62" t="n"/>
      <c r="K60">
        <f>IF($C60="","",IF(COUNTIF($C$3:$C60,$C60)=1,$C60,""))</f>
        <v/>
      </c>
      <c r="L60">
        <f>IF($K60="","",$M60+ROW()/10000000)</f>
        <v/>
      </c>
      <c r="M60">
        <f>IF($K60="","",SUMIF($C$3:$C$1002,$K60,$G$3:$G$1002))</f>
        <v/>
      </c>
      <c r="N60">
        <f>IF($K60="","",COUNTIF($C$3:$C$1002,$K60))</f>
        <v/>
      </c>
      <c r="P60">
        <f>IF($A60="","",$A60*100000+ROW())</f>
        <v/>
      </c>
    </row>
    <row r="61" ht="18" customHeight="1">
      <c r="A61" s="60" t="n"/>
      <c r="B61" s="61">
        <f>IF(A61="","",TEXT(A61,"mmm yyyy"))</f>
        <v/>
      </c>
      <c r="C61" s="62" t="n"/>
      <c r="D61" s="62" t="n"/>
      <c r="E61" s="62" t="n"/>
      <c r="F61" s="62" t="n"/>
      <c r="G61" s="63" t="n"/>
      <c r="H61" s="62" t="n"/>
      <c r="K61">
        <f>IF($C61="","",IF(COUNTIF($C$3:$C61,$C61)=1,$C61,""))</f>
        <v/>
      </c>
      <c r="L61">
        <f>IF($K61="","",$M61+ROW()/10000000)</f>
        <v/>
      </c>
      <c r="M61">
        <f>IF($K61="","",SUMIF($C$3:$C$1002,$K61,$G$3:$G$1002))</f>
        <v/>
      </c>
      <c r="N61">
        <f>IF($K61="","",COUNTIF($C$3:$C$1002,$K61))</f>
        <v/>
      </c>
      <c r="P61">
        <f>IF($A61="","",$A61*100000+ROW())</f>
        <v/>
      </c>
    </row>
    <row r="62" ht="18" customHeight="1">
      <c r="A62" s="60" t="n"/>
      <c r="B62" s="61">
        <f>IF(A62="","",TEXT(A62,"mmm yyyy"))</f>
        <v/>
      </c>
      <c r="C62" s="62" t="n"/>
      <c r="D62" s="62" t="n"/>
      <c r="E62" s="62" t="n"/>
      <c r="F62" s="62" t="n"/>
      <c r="G62" s="63" t="n"/>
      <c r="H62" s="62" t="n"/>
      <c r="K62">
        <f>IF($C62="","",IF(COUNTIF($C$3:$C62,$C62)=1,$C62,""))</f>
        <v/>
      </c>
      <c r="L62">
        <f>IF($K62="","",$M62+ROW()/10000000)</f>
        <v/>
      </c>
      <c r="M62">
        <f>IF($K62="","",SUMIF($C$3:$C$1002,$K62,$G$3:$G$1002))</f>
        <v/>
      </c>
      <c r="N62">
        <f>IF($K62="","",COUNTIF($C$3:$C$1002,$K62))</f>
        <v/>
      </c>
      <c r="P62">
        <f>IF($A62="","",$A62*100000+ROW())</f>
        <v/>
      </c>
    </row>
    <row r="63" ht="18" customHeight="1">
      <c r="A63" s="60" t="n"/>
      <c r="B63" s="61">
        <f>IF(A63="","",TEXT(A63,"mmm yyyy"))</f>
        <v/>
      </c>
      <c r="C63" s="62" t="n"/>
      <c r="D63" s="62" t="n"/>
      <c r="E63" s="62" t="n"/>
      <c r="F63" s="62" t="n"/>
      <c r="G63" s="63" t="n"/>
      <c r="H63" s="62" t="n"/>
      <c r="K63">
        <f>IF($C63="","",IF(COUNTIF($C$3:$C63,$C63)=1,$C63,""))</f>
        <v/>
      </c>
      <c r="L63">
        <f>IF($K63="","",$M63+ROW()/10000000)</f>
        <v/>
      </c>
      <c r="M63">
        <f>IF($K63="","",SUMIF($C$3:$C$1002,$K63,$G$3:$G$1002))</f>
        <v/>
      </c>
      <c r="N63">
        <f>IF($K63="","",COUNTIF($C$3:$C$1002,$K63))</f>
        <v/>
      </c>
      <c r="P63">
        <f>IF($A63="","",$A63*100000+ROW())</f>
        <v/>
      </c>
    </row>
    <row r="64" ht="18" customHeight="1">
      <c r="A64" s="60" t="n"/>
      <c r="B64" s="61">
        <f>IF(A64="","",TEXT(A64,"mmm yyyy"))</f>
        <v/>
      </c>
      <c r="C64" s="62" t="n"/>
      <c r="D64" s="62" t="n"/>
      <c r="E64" s="62" t="n"/>
      <c r="F64" s="62" t="n"/>
      <c r="G64" s="63" t="n"/>
      <c r="H64" s="62" t="n"/>
      <c r="K64">
        <f>IF($C64="","",IF(COUNTIF($C$3:$C64,$C64)=1,$C64,""))</f>
        <v/>
      </c>
      <c r="L64">
        <f>IF($K64="","",$M64+ROW()/10000000)</f>
        <v/>
      </c>
      <c r="M64">
        <f>IF($K64="","",SUMIF($C$3:$C$1002,$K64,$G$3:$G$1002))</f>
        <v/>
      </c>
      <c r="N64">
        <f>IF($K64="","",COUNTIF($C$3:$C$1002,$K64))</f>
        <v/>
      </c>
      <c r="P64">
        <f>IF($A64="","",$A64*100000+ROW())</f>
        <v/>
      </c>
    </row>
    <row r="65" ht="18" customHeight="1">
      <c r="A65" s="60" t="n"/>
      <c r="B65" s="61">
        <f>IF(A65="","",TEXT(A65,"mmm yyyy"))</f>
        <v/>
      </c>
      <c r="C65" s="62" t="n"/>
      <c r="D65" s="62" t="n"/>
      <c r="E65" s="62" t="n"/>
      <c r="F65" s="62" t="n"/>
      <c r="G65" s="63" t="n"/>
      <c r="H65" s="62" t="n"/>
      <c r="K65">
        <f>IF($C65="","",IF(COUNTIF($C$3:$C65,$C65)=1,$C65,""))</f>
        <v/>
      </c>
      <c r="L65">
        <f>IF($K65="","",$M65+ROW()/10000000)</f>
        <v/>
      </c>
      <c r="M65">
        <f>IF($K65="","",SUMIF($C$3:$C$1002,$K65,$G$3:$G$1002))</f>
        <v/>
      </c>
      <c r="N65">
        <f>IF($K65="","",COUNTIF($C$3:$C$1002,$K65))</f>
        <v/>
      </c>
      <c r="P65">
        <f>IF($A65="","",$A65*100000+ROW())</f>
        <v/>
      </c>
    </row>
    <row r="66" ht="18" customHeight="1">
      <c r="A66" s="60" t="n"/>
      <c r="B66" s="61">
        <f>IF(A66="","",TEXT(A66,"mmm yyyy"))</f>
        <v/>
      </c>
      <c r="C66" s="62" t="n"/>
      <c r="D66" s="62" t="n"/>
      <c r="E66" s="62" t="n"/>
      <c r="F66" s="62" t="n"/>
      <c r="G66" s="63" t="n"/>
      <c r="H66" s="62" t="n"/>
      <c r="K66">
        <f>IF($C66="","",IF(COUNTIF($C$3:$C66,$C66)=1,$C66,""))</f>
        <v/>
      </c>
      <c r="L66">
        <f>IF($K66="","",$M66+ROW()/10000000)</f>
        <v/>
      </c>
      <c r="M66">
        <f>IF($K66="","",SUMIF($C$3:$C$1002,$K66,$G$3:$G$1002))</f>
        <v/>
      </c>
      <c r="N66">
        <f>IF($K66="","",COUNTIF($C$3:$C$1002,$K66))</f>
        <v/>
      </c>
      <c r="P66">
        <f>IF($A66="","",$A66*100000+ROW())</f>
        <v/>
      </c>
    </row>
    <row r="67" ht="18" customHeight="1">
      <c r="A67" s="60" t="n"/>
      <c r="B67" s="61">
        <f>IF(A67="","",TEXT(A67,"mmm yyyy"))</f>
        <v/>
      </c>
      <c r="C67" s="62" t="n"/>
      <c r="D67" s="62" t="n"/>
      <c r="E67" s="62" t="n"/>
      <c r="F67" s="62" t="n"/>
      <c r="G67" s="63" t="n"/>
      <c r="H67" s="62" t="n"/>
      <c r="K67">
        <f>IF($C67="","",IF(COUNTIF($C$3:$C67,$C67)=1,$C67,""))</f>
        <v/>
      </c>
      <c r="L67">
        <f>IF($K67="","",$M67+ROW()/10000000)</f>
        <v/>
      </c>
      <c r="M67">
        <f>IF($K67="","",SUMIF($C$3:$C$1002,$K67,$G$3:$G$1002))</f>
        <v/>
      </c>
      <c r="N67">
        <f>IF($K67="","",COUNTIF($C$3:$C$1002,$K67))</f>
        <v/>
      </c>
      <c r="P67">
        <f>IF($A67="","",$A67*100000+ROW())</f>
        <v/>
      </c>
    </row>
    <row r="68" ht="18" customHeight="1">
      <c r="A68" s="60" t="n"/>
      <c r="B68" s="61">
        <f>IF(A68="","",TEXT(A68,"mmm yyyy"))</f>
        <v/>
      </c>
      <c r="C68" s="62" t="n"/>
      <c r="D68" s="62" t="n"/>
      <c r="E68" s="62" t="n"/>
      <c r="F68" s="62" t="n"/>
      <c r="G68" s="63" t="n"/>
      <c r="H68" s="62" t="n"/>
      <c r="K68">
        <f>IF($C68="","",IF(COUNTIF($C$3:$C68,$C68)=1,$C68,""))</f>
        <v/>
      </c>
      <c r="L68">
        <f>IF($K68="","",$M68+ROW()/10000000)</f>
        <v/>
      </c>
      <c r="M68">
        <f>IF($K68="","",SUMIF($C$3:$C$1002,$K68,$G$3:$G$1002))</f>
        <v/>
      </c>
      <c r="N68">
        <f>IF($K68="","",COUNTIF($C$3:$C$1002,$K68))</f>
        <v/>
      </c>
      <c r="P68">
        <f>IF($A68="","",$A68*100000+ROW())</f>
        <v/>
      </c>
    </row>
    <row r="69" ht="18" customHeight="1">
      <c r="A69" s="60" t="n"/>
      <c r="B69" s="61">
        <f>IF(A69="","",TEXT(A69,"mmm yyyy"))</f>
        <v/>
      </c>
      <c r="C69" s="62" t="n"/>
      <c r="D69" s="62" t="n"/>
      <c r="E69" s="62" t="n"/>
      <c r="F69" s="62" t="n"/>
      <c r="G69" s="63" t="n"/>
      <c r="H69" s="62" t="n"/>
      <c r="K69">
        <f>IF($C69="","",IF(COUNTIF($C$3:$C69,$C69)=1,$C69,""))</f>
        <v/>
      </c>
      <c r="L69">
        <f>IF($K69="","",$M69+ROW()/10000000)</f>
        <v/>
      </c>
      <c r="M69">
        <f>IF($K69="","",SUMIF($C$3:$C$1002,$K69,$G$3:$G$1002))</f>
        <v/>
      </c>
      <c r="N69">
        <f>IF($K69="","",COUNTIF($C$3:$C$1002,$K69))</f>
        <v/>
      </c>
      <c r="P69">
        <f>IF($A69="","",$A69*100000+ROW())</f>
        <v/>
      </c>
    </row>
    <row r="70" ht="18" customHeight="1">
      <c r="A70" s="60" t="n"/>
      <c r="B70" s="61">
        <f>IF(A70="","",TEXT(A70,"mmm yyyy"))</f>
        <v/>
      </c>
      <c r="C70" s="62" t="n"/>
      <c r="D70" s="62" t="n"/>
      <c r="E70" s="62" t="n"/>
      <c r="F70" s="62" t="n"/>
      <c r="G70" s="63" t="n"/>
      <c r="H70" s="62" t="n"/>
      <c r="K70">
        <f>IF($C70="","",IF(COUNTIF($C$3:$C70,$C70)=1,$C70,""))</f>
        <v/>
      </c>
      <c r="L70">
        <f>IF($K70="","",$M70+ROW()/10000000)</f>
        <v/>
      </c>
      <c r="M70">
        <f>IF($K70="","",SUMIF($C$3:$C$1002,$K70,$G$3:$G$1002))</f>
        <v/>
      </c>
      <c r="N70">
        <f>IF($K70="","",COUNTIF($C$3:$C$1002,$K70))</f>
        <v/>
      </c>
      <c r="P70">
        <f>IF($A70="","",$A70*100000+ROW())</f>
        <v/>
      </c>
    </row>
    <row r="71" ht="18" customHeight="1">
      <c r="A71" s="60" t="n"/>
      <c r="B71" s="61">
        <f>IF(A71="","",TEXT(A71,"mmm yyyy"))</f>
        <v/>
      </c>
      <c r="C71" s="62" t="n"/>
      <c r="D71" s="62" t="n"/>
      <c r="E71" s="62" t="n"/>
      <c r="F71" s="62" t="n"/>
      <c r="G71" s="63" t="n"/>
      <c r="H71" s="62" t="n"/>
      <c r="K71">
        <f>IF($C71="","",IF(COUNTIF($C$3:$C71,$C71)=1,$C71,""))</f>
        <v/>
      </c>
      <c r="L71">
        <f>IF($K71="","",$M71+ROW()/10000000)</f>
        <v/>
      </c>
      <c r="M71">
        <f>IF($K71="","",SUMIF($C$3:$C$1002,$K71,$G$3:$G$1002))</f>
        <v/>
      </c>
      <c r="N71">
        <f>IF($K71="","",COUNTIF($C$3:$C$1002,$K71))</f>
        <v/>
      </c>
      <c r="P71">
        <f>IF($A71="","",$A71*100000+ROW())</f>
        <v/>
      </c>
    </row>
    <row r="72" ht="18" customHeight="1">
      <c r="A72" s="60" t="n"/>
      <c r="B72" s="61">
        <f>IF(A72="","",TEXT(A72,"mmm yyyy"))</f>
        <v/>
      </c>
      <c r="C72" s="62" t="n"/>
      <c r="D72" s="62" t="n"/>
      <c r="E72" s="62" t="n"/>
      <c r="F72" s="62" t="n"/>
      <c r="G72" s="63" t="n"/>
      <c r="H72" s="62" t="n"/>
      <c r="K72">
        <f>IF($C72="","",IF(COUNTIF($C$3:$C72,$C72)=1,$C72,""))</f>
        <v/>
      </c>
      <c r="L72">
        <f>IF($K72="","",$M72+ROW()/10000000)</f>
        <v/>
      </c>
      <c r="M72">
        <f>IF($K72="","",SUMIF($C$3:$C$1002,$K72,$G$3:$G$1002))</f>
        <v/>
      </c>
      <c r="N72">
        <f>IF($K72="","",COUNTIF($C$3:$C$1002,$K72))</f>
        <v/>
      </c>
      <c r="P72">
        <f>IF($A72="","",$A72*100000+ROW())</f>
        <v/>
      </c>
    </row>
    <row r="73" ht="18" customHeight="1">
      <c r="A73" s="60" t="n"/>
      <c r="B73" s="61">
        <f>IF(A73="","",TEXT(A73,"mmm yyyy"))</f>
        <v/>
      </c>
      <c r="C73" s="62" t="n"/>
      <c r="D73" s="62" t="n"/>
      <c r="E73" s="62" t="n"/>
      <c r="F73" s="62" t="n"/>
      <c r="G73" s="63" t="n"/>
      <c r="H73" s="62" t="n"/>
      <c r="K73">
        <f>IF($C73="","",IF(COUNTIF($C$3:$C73,$C73)=1,$C73,""))</f>
        <v/>
      </c>
      <c r="L73">
        <f>IF($K73="","",$M73+ROW()/10000000)</f>
        <v/>
      </c>
      <c r="M73">
        <f>IF($K73="","",SUMIF($C$3:$C$1002,$K73,$G$3:$G$1002))</f>
        <v/>
      </c>
      <c r="N73">
        <f>IF($K73="","",COUNTIF($C$3:$C$1002,$K73))</f>
        <v/>
      </c>
      <c r="P73">
        <f>IF($A73="","",$A73*100000+ROW())</f>
        <v/>
      </c>
    </row>
    <row r="74" ht="18" customHeight="1">
      <c r="A74" s="60" t="n"/>
      <c r="B74" s="61">
        <f>IF(A74="","",TEXT(A74,"mmm yyyy"))</f>
        <v/>
      </c>
      <c r="C74" s="62" t="n"/>
      <c r="D74" s="62" t="n"/>
      <c r="E74" s="62" t="n"/>
      <c r="F74" s="62" t="n"/>
      <c r="G74" s="63" t="n"/>
      <c r="H74" s="62" t="n"/>
      <c r="K74">
        <f>IF($C74="","",IF(COUNTIF($C$3:$C74,$C74)=1,$C74,""))</f>
        <v/>
      </c>
      <c r="L74">
        <f>IF($K74="","",$M74+ROW()/10000000)</f>
        <v/>
      </c>
      <c r="M74">
        <f>IF($K74="","",SUMIF($C$3:$C$1002,$K74,$G$3:$G$1002))</f>
        <v/>
      </c>
      <c r="N74">
        <f>IF($K74="","",COUNTIF($C$3:$C$1002,$K74))</f>
        <v/>
      </c>
      <c r="P74">
        <f>IF($A74="","",$A74*100000+ROW())</f>
        <v/>
      </c>
    </row>
    <row r="75" ht="18" customHeight="1">
      <c r="A75" s="60" t="n"/>
      <c r="B75" s="61">
        <f>IF(A75="","",TEXT(A75,"mmm yyyy"))</f>
        <v/>
      </c>
      <c r="C75" s="62" t="n"/>
      <c r="D75" s="62" t="n"/>
      <c r="E75" s="62" t="n"/>
      <c r="F75" s="62" t="n"/>
      <c r="G75" s="63" t="n"/>
      <c r="H75" s="62" t="n"/>
      <c r="K75">
        <f>IF($C75="","",IF(COUNTIF($C$3:$C75,$C75)=1,$C75,""))</f>
        <v/>
      </c>
      <c r="L75">
        <f>IF($K75="","",$M75+ROW()/10000000)</f>
        <v/>
      </c>
      <c r="M75">
        <f>IF($K75="","",SUMIF($C$3:$C$1002,$K75,$G$3:$G$1002))</f>
        <v/>
      </c>
      <c r="N75">
        <f>IF($K75="","",COUNTIF($C$3:$C$1002,$K75))</f>
        <v/>
      </c>
      <c r="P75">
        <f>IF($A75="","",$A75*100000+ROW())</f>
        <v/>
      </c>
    </row>
    <row r="76" ht="18" customHeight="1">
      <c r="A76" s="60" t="n"/>
      <c r="B76" s="61">
        <f>IF(A76="","",TEXT(A76,"mmm yyyy"))</f>
        <v/>
      </c>
      <c r="C76" s="62" t="n"/>
      <c r="D76" s="62" t="n"/>
      <c r="E76" s="62" t="n"/>
      <c r="F76" s="62" t="n"/>
      <c r="G76" s="63" t="n"/>
      <c r="H76" s="62" t="n"/>
      <c r="K76">
        <f>IF($C76="","",IF(COUNTIF($C$3:$C76,$C76)=1,$C76,""))</f>
        <v/>
      </c>
      <c r="L76">
        <f>IF($K76="","",$M76+ROW()/10000000)</f>
        <v/>
      </c>
      <c r="M76">
        <f>IF($K76="","",SUMIF($C$3:$C$1002,$K76,$G$3:$G$1002))</f>
        <v/>
      </c>
      <c r="N76">
        <f>IF($K76="","",COUNTIF($C$3:$C$1002,$K76))</f>
        <v/>
      </c>
      <c r="P76">
        <f>IF($A76="","",$A76*100000+ROW())</f>
        <v/>
      </c>
    </row>
    <row r="77" ht="18" customHeight="1">
      <c r="A77" s="60" t="n"/>
      <c r="B77" s="61">
        <f>IF(A77="","",TEXT(A77,"mmm yyyy"))</f>
        <v/>
      </c>
      <c r="C77" s="62" t="n"/>
      <c r="D77" s="62" t="n"/>
      <c r="E77" s="62" t="n"/>
      <c r="F77" s="62" t="n"/>
      <c r="G77" s="63" t="n"/>
      <c r="H77" s="62" t="n"/>
      <c r="K77">
        <f>IF($C77="","",IF(COUNTIF($C$3:$C77,$C77)=1,$C77,""))</f>
        <v/>
      </c>
      <c r="L77">
        <f>IF($K77="","",$M77+ROW()/10000000)</f>
        <v/>
      </c>
      <c r="M77">
        <f>IF($K77="","",SUMIF($C$3:$C$1002,$K77,$G$3:$G$1002))</f>
        <v/>
      </c>
      <c r="N77">
        <f>IF($K77="","",COUNTIF($C$3:$C$1002,$K77))</f>
        <v/>
      </c>
      <c r="P77">
        <f>IF($A77="","",$A77*100000+ROW())</f>
        <v/>
      </c>
    </row>
    <row r="78" ht="18" customHeight="1">
      <c r="A78" s="60" t="n"/>
      <c r="B78" s="61">
        <f>IF(A78="","",TEXT(A78,"mmm yyyy"))</f>
        <v/>
      </c>
      <c r="C78" s="62" t="n"/>
      <c r="D78" s="62" t="n"/>
      <c r="E78" s="62" t="n"/>
      <c r="F78" s="62" t="n"/>
      <c r="G78" s="63" t="n"/>
      <c r="H78" s="62" t="n"/>
      <c r="K78">
        <f>IF($C78="","",IF(COUNTIF($C$3:$C78,$C78)=1,$C78,""))</f>
        <v/>
      </c>
      <c r="L78">
        <f>IF($K78="","",$M78+ROW()/10000000)</f>
        <v/>
      </c>
      <c r="M78">
        <f>IF($K78="","",SUMIF($C$3:$C$1002,$K78,$G$3:$G$1002))</f>
        <v/>
      </c>
      <c r="N78">
        <f>IF($K78="","",COUNTIF($C$3:$C$1002,$K78))</f>
        <v/>
      </c>
      <c r="P78">
        <f>IF($A78="","",$A78*100000+ROW())</f>
        <v/>
      </c>
    </row>
    <row r="79" ht="18" customHeight="1">
      <c r="A79" s="60" t="n"/>
      <c r="B79" s="61">
        <f>IF(A79="","",TEXT(A79,"mmm yyyy"))</f>
        <v/>
      </c>
      <c r="C79" s="62" t="n"/>
      <c r="D79" s="62" t="n"/>
      <c r="E79" s="62" t="n"/>
      <c r="F79" s="62" t="n"/>
      <c r="G79" s="63" t="n"/>
      <c r="H79" s="62" t="n"/>
      <c r="K79">
        <f>IF($C79="","",IF(COUNTIF($C$3:$C79,$C79)=1,$C79,""))</f>
        <v/>
      </c>
      <c r="L79">
        <f>IF($K79="","",$M79+ROW()/10000000)</f>
        <v/>
      </c>
      <c r="M79">
        <f>IF($K79="","",SUMIF($C$3:$C$1002,$K79,$G$3:$G$1002))</f>
        <v/>
      </c>
      <c r="N79">
        <f>IF($K79="","",COUNTIF($C$3:$C$1002,$K79))</f>
        <v/>
      </c>
      <c r="P79">
        <f>IF($A79="","",$A79*100000+ROW())</f>
        <v/>
      </c>
    </row>
    <row r="80" ht="18" customHeight="1">
      <c r="A80" s="60" t="n"/>
      <c r="B80" s="61">
        <f>IF(A80="","",TEXT(A80,"mmm yyyy"))</f>
        <v/>
      </c>
      <c r="C80" s="62" t="n"/>
      <c r="D80" s="62" t="n"/>
      <c r="E80" s="62" t="n"/>
      <c r="F80" s="62" t="n"/>
      <c r="G80" s="63" t="n"/>
      <c r="H80" s="62" t="n"/>
      <c r="K80">
        <f>IF($C80="","",IF(COUNTIF($C$3:$C80,$C80)=1,$C80,""))</f>
        <v/>
      </c>
      <c r="L80">
        <f>IF($K80="","",$M80+ROW()/10000000)</f>
        <v/>
      </c>
      <c r="M80">
        <f>IF($K80="","",SUMIF($C$3:$C$1002,$K80,$G$3:$G$1002))</f>
        <v/>
      </c>
      <c r="N80">
        <f>IF($K80="","",COUNTIF($C$3:$C$1002,$K80))</f>
        <v/>
      </c>
      <c r="P80">
        <f>IF($A80="","",$A80*100000+ROW())</f>
        <v/>
      </c>
    </row>
    <row r="81" ht="18" customHeight="1">
      <c r="A81" s="60" t="n"/>
      <c r="B81" s="61">
        <f>IF(A81="","",TEXT(A81,"mmm yyyy"))</f>
        <v/>
      </c>
      <c r="C81" s="62" t="n"/>
      <c r="D81" s="62" t="n"/>
      <c r="E81" s="62" t="n"/>
      <c r="F81" s="62" t="n"/>
      <c r="G81" s="63" t="n"/>
      <c r="H81" s="62" t="n"/>
      <c r="K81">
        <f>IF($C81="","",IF(COUNTIF($C$3:$C81,$C81)=1,$C81,""))</f>
        <v/>
      </c>
      <c r="L81">
        <f>IF($K81="","",$M81+ROW()/10000000)</f>
        <v/>
      </c>
      <c r="M81">
        <f>IF($K81="","",SUMIF($C$3:$C$1002,$K81,$G$3:$G$1002))</f>
        <v/>
      </c>
      <c r="N81">
        <f>IF($K81="","",COUNTIF($C$3:$C$1002,$K81))</f>
        <v/>
      </c>
      <c r="P81">
        <f>IF($A81="","",$A81*100000+ROW())</f>
        <v/>
      </c>
    </row>
    <row r="82" ht="18" customHeight="1">
      <c r="A82" s="60" t="n"/>
      <c r="B82" s="61">
        <f>IF(A82="","",TEXT(A82,"mmm yyyy"))</f>
        <v/>
      </c>
      <c r="C82" s="62" t="n"/>
      <c r="D82" s="62" t="n"/>
      <c r="E82" s="62" t="n"/>
      <c r="F82" s="62" t="n"/>
      <c r="G82" s="63" t="n"/>
      <c r="H82" s="62" t="n"/>
      <c r="K82">
        <f>IF($C82="","",IF(COUNTIF($C$3:$C82,$C82)=1,$C82,""))</f>
        <v/>
      </c>
      <c r="L82">
        <f>IF($K82="","",$M82+ROW()/10000000)</f>
        <v/>
      </c>
      <c r="M82">
        <f>IF($K82="","",SUMIF($C$3:$C$1002,$K82,$G$3:$G$1002))</f>
        <v/>
      </c>
      <c r="N82">
        <f>IF($K82="","",COUNTIF($C$3:$C$1002,$K82))</f>
        <v/>
      </c>
      <c r="P82">
        <f>IF($A82="","",$A82*100000+ROW())</f>
        <v/>
      </c>
    </row>
    <row r="83" ht="18" customHeight="1">
      <c r="A83" s="60" t="n"/>
      <c r="B83" s="61">
        <f>IF(A83="","",TEXT(A83,"mmm yyyy"))</f>
        <v/>
      </c>
      <c r="C83" s="62" t="n"/>
      <c r="D83" s="62" t="n"/>
      <c r="E83" s="62" t="n"/>
      <c r="F83" s="62" t="n"/>
      <c r="G83" s="63" t="n"/>
      <c r="H83" s="62" t="n"/>
      <c r="K83">
        <f>IF($C83="","",IF(COUNTIF($C$3:$C83,$C83)=1,$C83,""))</f>
        <v/>
      </c>
      <c r="L83">
        <f>IF($K83="","",$M83+ROW()/10000000)</f>
        <v/>
      </c>
      <c r="M83">
        <f>IF($K83="","",SUMIF($C$3:$C$1002,$K83,$G$3:$G$1002))</f>
        <v/>
      </c>
      <c r="N83">
        <f>IF($K83="","",COUNTIF($C$3:$C$1002,$K83))</f>
        <v/>
      </c>
      <c r="P83">
        <f>IF($A83="","",$A83*100000+ROW())</f>
        <v/>
      </c>
    </row>
    <row r="84" ht="18" customHeight="1">
      <c r="A84" s="60" t="n"/>
      <c r="B84" s="61">
        <f>IF(A84="","",TEXT(A84,"mmm yyyy"))</f>
        <v/>
      </c>
      <c r="C84" s="62" t="n"/>
      <c r="D84" s="62" t="n"/>
      <c r="E84" s="62" t="n"/>
      <c r="F84" s="62" t="n"/>
      <c r="G84" s="63" t="n"/>
      <c r="H84" s="62" t="n"/>
      <c r="K84">
        <f>IF($C84="","",IF(COUNTIF($C$3:$C84,$C84)=1,$C84,""))</f>
        <v/>
      </c>
      <c r="L84">
        <f>IF($K84="","",$M84+ROW()/10000000)</f>
        <v/>
      </c>
      <c r="M84">
        <f>IF($K84="","",SUMIF($C$3:$C$1002,$K84,$G$3:$G$1002))</f>
        <v/>
      </c>
      <c r="N84">
        <f>IF($K84="","",COUNTIF($C$3:$C$1002,$K84))</f>
        <v/>
      </c>
      <c r="P84">
        <f>IF($A84="","",$A84*100000+ROW())</f>
        <v/>
      </c>
    </row>
    <row r="85" ht="18" customHeight="1">
      <c r="A85" s="60" t="n"/>
      <c r="B85" s="61">
        <f>IF(A85="","",TEXT(A85,"mmm yyyy"))</f>
        <v/>
      </c>
      <c r="C85" s="62" t="n"/>
      <c r="D85" s="62" t="n"/>
      <c r="E85" s="62" t="n"/>
      <c r="F85" s="62" t="n"/>
      <c r="G85" s="63" t="n"/>
      <c r="H85" s="62" t="n"/>
      <c r="K85">
        <f>IF($C85="","",IF(COUNTIF($C$3:$C85,$C85)=1,$C85,""))</f>
        <v/>
      </c>
      <c r="L85">
        <f>IF($K85="","",$M85+ROW()/10000000)</f>
        <v/>
      </c>
      <c r="M85">
        <f>IF($K85="","",SUMIF($C$3:$C$1002,$K85,$G$3:$G$1002))</f>
        <v/>
      </c>
      <c r="N85">
        <f>IF($K85="","",COUNTIF($C$3:$C$1002,$K85))</f>
        <v/>
      </c>
      <c r="P85">
        <f>IF($A85="","",$A85*100000+ROW())</f>
        <v/>
      </c>
    </row>
    <row r="86" ht="18" customHeight="1">
      <c r="A86" s="60" t="n"/>
      <c r="B86" s="61">
        <f>IF(A86="","",TEXT(A86,"mmm yyyy"))</f>
        <v/>
      </c>
      <c r="C86" s="62" t="n"/>
      <c r="D86" s="62" t="n"/>
      <c r="E86" s="62" t="n"/>
      <c r="F86" s="62" t="n"/>
      <c r="G86" s="63" t="n"/>
      <c r="H86" s="62" t="n"/>
      <c r="K86">
        <f>IF($C86="","",IF(COUNTIF($C$3:$C86,$C86)=1,$C86,""))</f>
        <v/>
      </c>
      <c r="L86">
        <f>IF($K86="","",$M86+ROW()/10000000)</f>
        <v/>
      </c>
      <c r="M86">
        <f>IF($K86="","",SUMIF($C$3:$C$1002,$K86,$G$3:$G$1002))</f>
        <v/>
      </c>
      <c r="N86">
        <f>IF($K86="","",COUNTIF($C$3:$C$1002,$K86))</f>
        <v/>
      </c>
      <c r="P86">
        <f>IF($A86="","",$A86*100000+ROW())</f>
        <v/>
      </c>
    </row>
    <row r="87" ht="18" customHeight="1">
      <c r="A87" s="60" t="n"/>
      <c r="B87" s="61">
        <f>IF(A87="","",TEXT(A87,"mmm yyyy"))</f>
        <v/>
      </c>
      <c r="C87" s="62" t="n"/>
      <c r="D87" s="62" t="n"/>
      <c r="E87" s="62" t="n"/>
      <c r="F87" s="62" t="n"/>
      <c r="G87" s="63" t="n"/>
      <c r="H87" s="62" t="n"/>
      <c r="K87">
        <f>IF($C87="","",IF(COUNTIF($C$3:$C87,$C87)=1,$C87,""))</f>
        <v/>
      </c>
      <c r="L87">
        <f>IF($K87="","",$M87+ROW()/10000000)</f>
        <v/>
      </c>
      <c r="M87">
        <f>IF($K87="","",SUMIF($C$3:$C$1002,$K87,$G$3:$G$1002))</f>
        <v/>
      </c>
      <c r="N87">
        <f>IF($K87="","",COUNTIF($C$3:$C$1002,$K87))</f>
        <v/>
      </c>
      <c r="P87">
        <f>IF($A87="","",$A87*100000+ROW())</f>
        <v/>
      </c>
    </row>
    <row r="88" ht="18" customHeight="1">
      <c r="A88" s="60" t="n"/>
      <c r="B88" s="61">
        <f>IF(A88="","",TEXT(A88,"mmm yyyy"))</f>
        <v/>
      </c>
      <c r="C88" s="62" t="n"/>
      <c r="D88" s="62" t="n"/>
      <c r="E88" s="62" t="n"/>
      <c r="F88" s="62" t="n"/>
      <c r="G88" s="63" t="n"/>
      <c r="H88" s="62" t="n"/>
      <c r="K88">
        <f>IF($C88="","",IF(COUNTIF($C$3:$C88,$C88)=1,$C88,""))</f>
        <v/>
      </c>
      <c r="L88">
        <f>IF($K88="","",$M88+ROW()/10000000)</f>
        <v/>
      </c>
      <c r="M88">
        <f>IF($K88="","",SUMIF($C$3:$C$1002,$K88,$G$3:$G$1002))</f>
        <v/>
      </c>
      <c r="N88">
        <f>IF($K88="","",COUNTIF($C$3:$C$1002,$K88))</f>
        <v/>
      </c>
      <c r="P88">
        <f>IF($A88="","",$A88*100000+ROW())</f>
        <v/>
      </c>
    </row>
    <row r="89" ht="18" customHeight="1">
      <c r="A89" s="60" t="n"/>
      <c r="B89" s="61">
        <f>IF(A89="","",TEXT(A89,"mmm yyyy"))</f>
        <v/>
      </c>
      <c r="C89" s="62" t="n"/>
      <c r="D89" s="62" t="n"/>
      <c r="E89" s="62" t="n"/>
      <c r="F89" s="62" t="n"/>
      <c r="G89" s="63" t="n"/>
      <c r="H89" s="62" t="n"/>
      <c r="K89">
        <f>IF($C89="","",IF(COUNTIF($C$3:$C89,$C89)=1,$C89,""))</f>
        <v/>
      </c>
      <c r="L89">
        <f>IF($K89="","",$M89+ROW()/10000000)</f>
        <v/>
      </c>
      <c r="M89">
        <f>IF($K89="","",SUMIF($C$3:$C$1002,$K89,$G$3:$G$1002))</f>
        <v/>
      </c>
      <c r="N89">
        <f>IF($K89="","",COUNTIF($C$3:$C$1002,$K89))</f>
        <v/>
      </c>
      <c r="P89">
        <f>IF($A89="","",$A89*100000+ROW())</f>
        <v/>
      </c>
    </row>
    <row r="90" ht="18" customHeight="1">
      <c r="A90" s="60" t="n"/>
      <c r="B90" s="61">
        <f>IF(A90="","",TEXT(A90,"mmm yyyy"))</f>
        <v/>
      </c>
      <c r="C90" s="62" t="n"/>
      <c r="D90" s="62" t="n"/>
      <c r="E90" s="62" t="n"/>
      <c r="F90" s="62" t="n"/>
      <c r="G90" s="63" t="n"/>
      <c r="H90" s="62" t="n"/>
      <c r="K90">
        <f>IF($C90="","",IF(COUNTIF($C$3:$C90,$C90)=1,$C90,""))</f>
        <v/>
      </c>
      <c r="L90">
        <f>IF($K90="","",$M90+ROW()/10000000)</f>
        <v/>
      </c>
      <c r="M90">
        <f>IF($K90="","",SUMIF($C$3:$C$1002,$K90,$G$3:$G$1002))</f>
        <v/>
      </c>
      <c r="N90">
        <f>IF($K90="","",COUNTIF($C$3:$C$1002,$K90))</f>
        <v/>
      </c>
      <c r="P90">
        <f>IF($A90="","",$A90*100000+ROW())</f>
        <v/>
      </c>
    </row>
    <row r="91" ht="18" customHeight="1">
      <c r="A91" s="60" t="n"/>
      <c r="B91" s="61">
        <f>IF(A91="","",TEXT(A91,"mmm yyyy"))</f>
        <v/>
      </c>
      <c r="C91" s="62" t="n"/>
      <c r="D91" s="62" t="n"/>
      <c r="E91" s="62" t="n"/>
      <c r="F91" s="62" t="n"/>
      <c r="G91" s="63" t="n"/>
      <c r="H91" s="62" t="n"/>
      <c r="K91">
        <f>IF($C91="","",IF(COUNTIF($C$3:$C91,$C91)=1,$C91,""))</f>
        <v/>
      </c>
      <c r="L91">
        <f>IF($K91="","",$M91+ROW()/10000000)</f>
        <v/>
      </c>
      <c r="M91">
        <f>IF($K91="","",SUMIF($C$3:$C$1002,$K91,$G$3:$G$1002))</f>
        <v/>
      </c>
      <c r="N91">
        <f>IF($K91="","",COUNTIF($C$3:$C$1002,$K91))</f>
        <v/>
      </c>
      <c r="P91">
        <f>IF($A91="","",$A91*100000+ROW())</f>
        <v/>
      </c>
    </row>
    <row r="92" ht="18" customHeight="1">
      <c r="A92" s="60" t="n"/>
      <c r="B92" s="61">
        <f>IF(A92="","",TEXT(A92,"mmm yyyy"))</f>
        <v/>
      </c>
      <c r="C92" s="62" t="n"/>
      <c r="D92" s="62" t="n"/>
      <c r="E92" s="62" t="n"/>
      <c r="F92" s="62" t="n"/>
      <c r="G92" s="63" t="n"/>
      <c r="H92" s="62" t="n"/>
      <c r="K92">
        <f>IF($C92="","",IF(COUNTIF($C$3:$C92,$C92)=1,$C92,""))</f>
        <v/>
      </c>
      <c r="L92">
        <f>IF($K92="","",$M92+ROW()/10000000)</f>
        <v/>
      </c>
      <c r="M92">
        <f>IF($K92="","",SUMIF($C$3:$C$1002,$K92,$G$3:$G$1002))</f>
        <v/>
      </c>
      <c r="N92">
        <f>IF($K92="","",COUNTIF($C$3:$C$1002,$K92))</f>
        <v/>
      </c>
      <c r="P92">
        <f>IF($A92="","",$A92*100000+ROW())</f>
        <v/>
      </c>
    </row>
    <row r="93" ht="18" customHeight="1">
      <c r="A93" s="60" t="n"/>
      <c r="B93" s="61">
        <f>IF(A93="","",TEXT(A93,"mmm yyyy"))</f>
        <v/>
      </c>
      <c r="C93" s="62" t="n"/>
      <c r="D93" s="62" t="n"/>
      <c r="E93" s="62" t="n"/>
      <c r="F93" s="62" t="n"/>
      <c r="G93" s="63" t="n"/>
      <c r="H93" s="62" t="n"/>
      <c r="K93">
        <f>IF($C93="","",IF(COUNTIF($C$3:$C93,$C93)=1,$C93,""))</f>
        <v/>
      </c>
      <c r="L93">
        <f>IF($K93="","",$M93+ROW()/10000000)</f>
        <v/>
      </c>
      <c r="M93">
        <f>IF($K93="","",SUMIF($C$3:$C$1002,$K93,$G$3:$G$1002))</f>
        <v/>
      </c>
      <c r="N93">
        <f>IF($K93="","",COUNTIF($C$3:$C$1002,$K93))</f>
        <v/>
      </c>
      <c r="P93">
        <f>IF($A93="","",$A93*100000+ROW())</f>
        <v/>
      </c>
    </row>
    <row r="94" ht="18" customHeight="1">
      <c r="A94" s="60" t="n"/>
      <c r="B94" s="61">
        <f>IF(A94="","",TEXT(A94,"mmm yyyy"))</f>
        <v/>
      </c>
      <c r="C94" s="62" t="n"/>
      <c r="D94" s="62" t="n"/>
      <c r="E94" s="62" t="n"/>
      <c r="F94" s="62" t="n"/>
      <c r="G94" s="63" t="n"/>
      <c r="H94" s="62" t="n"/>
      <c r="K94">
        <f>IF($C94="","",IF(COUNTIF($C$3:$C94,$C94)=1,$C94,""))</f>
        <v/>
      </c>
      <c r="L94">
        <f>IF($K94="","",$M94+ROW()/10000000)</f>
        <v/>
      </c>
      <c r="M94">
        <f>IF($K94="","",SUMIF($C$3:$C$1002,$K94,$G$3:$G$1002))</f>
        <v/>
      </c>
      <c r="N94">
        <f>IF($K94="","",COUNTIF($C$3:$C$1002,$K94))</f>
        <v/>
      </c>
      <c r="P94">
        <f>IF($A94="","",$A94*100000+ROW())</f>
        <v/>
      </c>
    </row>
    <row r="95" ht="18" customHeight="1">
      <c r="A95" s="60" t="n"/>
      <c r="B95" s="61">
        <f>IF(A95="","",TEXT(A95,"mmm yyyy"))</f>
        <v/>
      </c>
      <c r="C95" s="62" t="n"/>
      <c r="D95" s="62" t="n"/>
      <c r="E95" s="62" t="n"/>
      <c r="F95" s="62" t="n"/>
      <c r="G95" s="63" t="n"/>
      <c r="H95" s="62" t="n"/>
      <c r="K95">
        <f>IF($C95="","",IF(COUNTIF($C$3:$C95,$C95)=1,$C95,""))</f>
        <v/>
      </c>
      <c r="L95">
        <f>IF($K95="","",$M95+ROW()/10000000)</f>
        <v/>
      </c>
      <c r="M95">
        <f>IF($K95="","",SUMIF($C$3:$C$1002,$K95,$G$3:$G$1002))</f>
        <v/>
      </c>
      <c r="N95">
        <f>IF($K95="","",COUNTIF($C$3:$C$1002,$K95))</f>
        <v/>
      </c>
      <c r="P95">
        <f>IF($A95="","",$A95*100000+ROW())</f>
        <v/>
      </c>
    </row>
    <row r="96" ht="18" customHeight="1">
      <c r="A96" s="60" t="n"/>
      <c r="B96" s="61">
        <f>IF(A96="","",TEXT(A96,"mmm yyyy"))</f>
        <v/>
      </c>
      <c r="C96" s="62" t="n"/>
      <c r="D96" s="62" t="n"/>
      <c r="E96" s="62" t="n"/>
      <c r="F96" s="62" t="n"/>
      <c r="G96" s="63" t="n"/>
      <c r="H96" s="62" t="n"/>
      <c r="K96">
        <f>IF($C96="","",IF(COUNTIF($C$3:$C96,$C96)=1,$C96,""))</f>
        <v/>
      </c>
      <c r="L96">
        <f>IF($K96="","",$M96+ROW()/10000000)</f>
        <v/>
      </c>
      <c r="M96">
        <f>IF($K96="","",SUMIF($C$3:$C$1002,$K96,$G$3:$G$1002))</f>
        <v/>
      </c>
      <c r="N96">
        <f>IF($K96="","",COUNTIF($C$3:$C$1002,$K96))</f>
        <v/>
      </c>
      <c r="P96">
        <f>IF($A96="","",$A96*100000+ROW())</f>
        <v/>
      </c>
    </row>
    <row r="97" ht="18" customHeight="1">
      <c r="A97" s="60" t="n"/>
      <c r="B97" s="61">
        <f>IF(A97="","",TEXT(A97,"mmm yyyy"))</f>
        <v/>
      </c>
      <c r="C97" s="62" t="n"/>
      <c r="D97" s="62" t="n"/>
      <c r="E97" s="62" t="n"/>
      <c r="F97" s="62" t="n"/>
      <c r="G97" s="63" t="n"/>
      <c r="H97" s="62" t="n"/>
      <c r="K97">
        <f>IF($C97="","",IF(COUNTIF($C$3:$C97,$C97)=1,$C97,""))</f>
        <v/>
      </c>
      <c r="L97">
        <f>IF($K97="","",$M97+ROW()/10000000)</f>
        <v/>
      </c>
      <c r="M97">
        <f>IF($K97="","",SUMIF($C$3:$C$1002,$K97,$G$3:$G$1002))</f>
        <v/>
      </c>
      <c r="N97">
        <f>IF($K97="","",COUNTIF($C$3:$C$1002,$K97))</f>
        <v/>
      </c>
      <c r="P97">
        <f>IF($A97="","",$A97*100000+ROW())</f>
        <v/>
      </c>
    </row>
    <row r="98" ht="18" customHeight="1">
      <c r="A98" s="60" t="n"/>
      <c r="B98" s="61">
        <f>IF(A98="","",TEXT(A98,"mmm yyyy"))</f>
        <v/>
      </c>
      <c r="C98" s="62" t="n"/>
      <c r="D98" s="62" t="n"/>
      <c r="E98" s="62" t="n"/>
      <c r="F98" s="62" t="n"/>
      <c r="G98" s="63" t="n"/>
      <c r="H98" s="62" t="n"/>
      <c r="K98">
        <f>IF($C98="","",IF(COUNTIF($C$3:$C98,$C98)=1,$C98,""))</f>
        <v/>
      </c>
      <c r="L98">
        <f>IF($K98="","",$M98+ROW()/10000000)</f>
        <v/>
      </c>
      <c r="M98">
        <f>IF($K98="","",SUMIF($C$3:$C$1002,$K98,$G$3:$G$1002))</f>
        <v/>
      </c>
      <c r="N98">
        <f>IF($K98="","",COUNTIF($C$3:$C$1002,$K98))</f>
        <v/>
      </c>
      <c r="P98">
        <f>IF($A98="","",$A98*100000+ROW())</f>
        <v/>
      </c>
    </row>
    <row r="99" ht="18" customHeight="1">
      <c r="A99" s="60" t="n"/>
      <c r="B99" s="61">
        <f>IF(A99="","",TEXT(A99,"mmm yyyy"))</f>
        <v/>
      </c>
      <c r="C99" s="62" t="n"/>
      <c r="D99" s="62" t="n"/>
      <c r="E99" s="62" t="n"/>
      <c r="F99" s="62" t="n"/>
      <c r="G99" s="63" t="n"/>
      <c r="H99" s="62" t="n"/>
      <c r="K99">
        <f>IF($C99="","",IF(COUNTIF($C$3:$C99,$C99)=1,$C99,""))</f>
        <v/>
      </c>
      <c r="L99">
        <f>IF($K99="","",$M99+ROW()/10000000)</f>
        <v/>
      </c>
      <c r="M99">
        <f>IF($K99="","",SUMIF($C$3:$C$1002,$K99,$G$3:$G$1002))</f>
        <v/>
      </c>
      <c r="N99">
        <f>IF($K99="","",COUNTIF($C$3:$C$1002,$K99))</f>
        <v/>
      </c>
      <c r="P99">
        <f>IF($A99="","",$A99*100000+ROW())</f>
        <v/>
      </c>
    </row>
    <row r="100" ht="18" customHeight="1">
      <c r="A100" s="60" t="n"/>
      <c r="B100" s="61">
        <f>IF(A100="","",TEXT(A100,"mmm yyyy"))</f>
        <v/>
      </c>
      <c r="C100" s="62" t="n"/>
      <c r="D100" s="62" t="n"/>
      <c r="E100" s="62" t="n"/>
      <c r="F100" s="62" t="n"/>
      <c r="G100" s="63" t="n"/>
      <c r="H100" s="62" t="n"/>
      <c r="K100">
        <f>IF($C100="","",IF(COUNTIF($C$3:$C100,$C100)=1,$C100,""))</f>
        <v/>
      </c>
      <c r="L100">
        <f>IF($K100="","",$M100+ROW()/10000000)</f>
        <v/>
      </c>
      <c r="M100">
        <f>IF($K100="","",SUMIF($C$3:$C$1002,$K100,$G$3:$G$1002))</f>
        <v/>
      </c>
      <c r="N100">
        <f>IF($K100="","",COUNTIF($C$3:$C$1002,$K100))</f>
        <v/>
      </c>
      <c r="P100">
        <f>IF($A100="","",$A100*100000+ROW())</f>
        <v/>
      </c>
    </row>
    <row r="101" ht="18" customHeight="1">
      <c r="A101" s="60" t="n"/>
      <c r="B101" s="61">
        <f>IF(A101="","",TEXT(A101,"mmm yyyy"))</f>
        <v/>
      </c>
      <c r="C101" s="62" t="n"/>
      <c r="D101" s="62" t="n"/>
      <c r="E101" s="62" t="n"/>
      <c r="F101" s="62" t="n"/>
      <c r="G101" s="63" t="n"/>
      <c r="H101" s="62" t="n"/>
      <c r="K101">
        <f>IF($C101="","",IF(COUNTIF($C$3:$C101,$C101)=1,$C101,""))</f>
        <v/>
      </c>
      <c r="L101">
        <f>IF($K101="","",$M101+ROW()/10000000)</f>
        <v/>
      </c>
      <c r="M101">
        <f>IF($K101="","",SUMIF($C$3:$C$1002,$K101,$G$3:$G$1002))</f>
        <v/>
      </c>
      <c r="N101">
        <f>IF($K101="","",COUNTIF($C$3:$C$1002,$K101))</f>
        <v/>
      </c>
      <c r="P101">
        <f>IF($A101="","",$A101*100000+ROW())</f>
        <v/>
      </c>
    </row>
    <row r="102" ht="18" customHeight="1">
      <c r="A102" s="60" t="n"/>
      <c r="B102" s="61">
        <f>IF(A102="","",TEXT(A102,"mmm yyyy"))</f>
        <v/>
      </c>
      <c r="C102" s="62" t="n"/>
      <c r="D102" s="62" t="n"/>
      <c r="E102" s="62" t="n"/>
      <c r="F102" s="62" t="n"/>
      <c r="G102" s="63" t="n"/>
      <c r="H102" s="62" t="n"/>
      <c r="K102">
        <f>IF($C102="","",IF(COUNTIF($C$3:$C102,$C102)=1,$C102,""))</f>
        <v/>
      </c>
      <c r="L102">
        <f>IF($K102="","",$M102+ROW()/10000000)</f>
        <v/>
      </c>
      <c r="M102">
        <f>IF($K102="","",SUMIF($C$3:$C$1002,$K102,$G$3:$G$1002))</f>
        <v/>
      </c>
      <c r="N102">
        <f>IF($K102="","",COUNTIF($C$3:$C$1002,$K102))</f>
        <v/>
      </c>
      <c r="P102">
        <f>IF($A102="","",$A102*100000+ROW())</f>
        <v/>
      </c>
    </row>
    <row r="103" ht="18" customHeight="1">
      <c r="A103" s="60" t="n"/>
      <c r="B103" s="61">
        <f>IF(A103="","",TEXT(A103,"mmm yyyy"))</f>
        <v/>
      </c>
      <c r="C103" s="62" t="n"/>
      <c r="D103" s="62" t="n"/>
      <c r="E103" s="62" t="n"/>
      <c r="F103" s="62" t="n"/>
      <c r="G103" s="63" t="n"/>
      <c r="H103" s="62" t="n"/>
      <c r="K103">
        <f>IF($C103="","",IF(COUNTIF($C$3:$C103,$C103)=1,$C103,""))</f>
        <v/>
      </c>
      <c r="L103">
        <f>IF($K103="","",$M103+ROW()/10000000)</f>
        <v/>
      </c>
      <c r="M103">
        <f>IF($K103="","",SUMIF($C$3:$C$1002,$K103,$G$3:$G$1002))</f>
        <v/>
      </c>
      <c r="N103">
        <f>IF($K103="","",COUNTIF($C$3:$C$1002,$K103))</f>
        <v/>
      </c>
      <c r="P103">
        <f>IF($A103="","",$A103*100000+ROW())</f>
        <v/>
      </c>
    </row>
    <row r="104" ht="18" customHeight="1">
      <c r="A104" s="60" t="n"/>
      <c r="B104" s="61">
        <f>IF(A104="","",TEXT(A104,"mmm yyyy"))</f>
        <v/>
      </c>
      <c r="C104" s="62" t="n"/>
      <c r="D104" s="62" t="n"/>
      <c r="E104" s="62" t="n"/>
      <c r="F104" s="62" t="n"/>
      <c r="G104" s="63" t="n"/>
      <c r="H104" s="62" t="n"/>
      <c r="K104">
        <f>IF($C104="","",IF(COUNTIF($C$3:$C104,$C104)=1,$C104,""))</f>
        <v/>
      </c>
      <c r="L104">
        <f>IF($K104="","",$M104+ROW()/10000000)</f>
        <v/>
      </c>
      <c r="M104">
        <f>IF($K104="","",SUMIF($C$3:$C$1002,$K104,$G$3:$G$1002))</f>
        <v/>
      </c>
      <c r="N104">
        <f>IF($K104="","",COUNTIF($C$3:$C$1002,$K104))</f>
        <v/>
      </c>
      <c r="P104">
        <f>IF($A104="","",$A104*100000+ROW())</f>
        <v/>
      </c>
    </row>
    <row r="105" ht="18" customHeight="1">
      <c r="A105" s="60" t="n"/>
      <c r="B105" s="61">
        <f>IF(A105="","",TEXT(A105,"mmm yyyy"))</f>
        <v/>
      </c>
      <c r="C105" s="62" t="n"/>
      <c r="D105" s="62" t="n"/>
      <c r="E105" s="62" t="n"/>
      <c r="F105" s="62" t="n"/>
      <c r="G105" s="63" t="n"/>
      <c r="H105" s="62" t="n"/>
      <c r="K105">
        <f>IF($C105="","",IF(COUNTIF($C$3:$C105,$C105)=1,$C105,""))</f>
        <v/>
      </c>
      <c r="L105">
        <f>IF($K105="","",$M105+ROW()/10000000)</f>
        <v/>
      </c>
      <c r="M105">
        <f>IF($K105="","",SUMIF($C$3:$C$1002,$K105,$G$3:$G$1002))</f>
        <v/>
      </c>
      <c r="N105">
        <f>IF($K105="","",COUNTIF($C$3:$C$1002,$K105))</f>
        <v/>
      </c>
      <c r="P105">
        <f>IF($A105="","",$A105*100000+ROW())</f>
        <v/>
      </c>
    </row>
    <row r="106" ht="18" customHeight="1">
      <c r="A106" s="60" t="n"/>
      <c r="B106" s="61">
        <f>IF(A106="","",TEXT(A106,"mmm yyyy"))</f>
        <v/>
      </c>
      <c r="C106" s="62" t="n"/>
      <c r="D106" s="62" t="n"/>
      <c r="E106" s="62" t="n"/>
      <c r="F106" s="62" t="n"/>
      <c r="G106" s="63" t="n"/>
      <c r="H106" s="62" t="n"/>
      <c r="K106">
        <f>IF($C106="","",IF(COUNTIF($C$3:$C106,$C106)=1,$C106,""))</f>
        <v/>
      </c>
      <c r="L106">
        <f>IF($K106="","",$M106+ROW()/10000000)</f>
        <v/>
      </c>
      <c r="M106">
        <f>IF($K106="","",SUMIF($C$3:$C$1002,$K106,$G$3:$G$1002))</f>
        <v/>
      </c>
      <c r="N106">
        <f>IF($K106="","",COUNTIF($C$3:$C$1002,$K106))</f>
        <v/>
      </c>
      <c r="P106">
        <f>IF($A106="","",$A106*100000+ROW())</f>
        <v/>
      </c>
    </row>
    <row r="107" ht="18" customHeight="1">
      <c r="A107" s="60" t="n"/>
      <c r="B107" s="61">
        <f>IF(A107="","",TEXT(A107,"mmm yyyy"))</f>
        <v/>
      </c>
      <c r="C107" s="62" t="n"/>
      <c r="D107" s="62" t="n"/>
      <c r="E107" s="62" t="n"/>
      <c r="F107" s="62" t="n"/>
      <c r="G107" s="63" t="n"/>
      <c r="H107" s="62" t="n"/>
      <c r="K107">
        <f>IF($C107="","",IF(COUNTIF($C$3:$C107,$C107)=1,$C107,""))</f>
        <v/>
      </c>
      <c r="L107">
        <f>IF($K107="","",$M107+ROW()/10000000)</f>
        <v/>
      </c>
      <c r="M107">
        <f>IF($K107="","",SUMIF($C$3:$C$1002,$K107,$G$3:$G$1002))</f>
        <v/>
      </c>
      <c r="N107">
        <f>IF($K107="","",COUNTIF($C$3:$C$1002,$K107))</f>
        <v/>
      </c>
      <c r="P107">
        <f>IF($A107="","",$A107*100000+ROW())</f>
        <v/>
      </c>
    </row>
    <row r="108" ht="18" customHeight="1">
      <c r="A108" s="60" t="n"/>
      <c r="B108" s="61">
        <f>IF(A108="","",TEXT(A108,"mmm yyyy"))</f>
        <v/>
      </c>
      <c r="C108" s="62" t="n"/>
      <c r="D108" s="62" t="n"/>
      <c r="E108" s="62" t="n"/>
      <c r="F108" s="62" t="n"/>
      <c r="G108" s="63" t="n"/>
      <c r="H108" s="62" t="n"/>
      <c r="K108">
        <f>IF($C108="","",IF(COUNTIF($C$3:$C108,$C108)=1,$C108,""))</f>
        <v/>
      </c>
      <c r="L108">
        <f>IF($K108="","",$M108+ROW()/10000000)</f>
        <v/>
      </c>
      <c r="M108">
        <f>IF($K108="","",SUMIF($C$3:$C$1002,$K108,$G$3:$G$1002))</f>
        <v/>
      </c>
      <c r="N108">
        <f>IF($K108="","",COUNTIF($C$3:$C$1002,$K108))</f>
        <v/>
      </c>
      <c r="P108">
        <f>IF($A108="","",$A108*100000+ROW())</f>
        <v/>
      </c>
    </row>
    <row r="109" ht="18" customHeight="1">
      <c r="A109" s="60" t="n"/>
      <c r="B109" s="61">
        <f>IF(A109="","",TEXT(A109,"mmm yyyy"))</f>
        <v/>
      </c>
      <c r="C109" s="62" t="n"/>
      <c r="D109" s="62" t="n"/>
      <c r="E109" s="62" t="n"/>
      <c r="F109" s="62" t="n"/>
      <c r="G109" s="63" t="n"/>
      <c r="H109" s="62" t="n"/>
      <c r="K109">
        <f>IF($C109="","",IF(COUNTIF($C$3:$C109,$C109)=1,$C109,""))</f>
        <v/>
      </c>
      <c r="L109">
        <f>IF($K109="","",$M109+ROW()/10000000)</f>
        <v/>
      </c>
      <c r="M109">
        <f>IF($K109="","",SUMIF($C$3:$C$1002,$K109,$G$3:$G$1002))</f>
        <v/>
      </c>
      <c r="N109">
        <f>IF($K109="","",COUNTIF($C$3:$C$1002,$K109))</f>
        <v/>
      </c>
      <c r="P109">
        <f>IF($A109="","",$A109*100000+ROW())</f>
        <v/>
      </c>
    </row>
    <row r="110" ht="18" customHeight="1">
      <c r="A110" s="60" t="n"/>
      <c r="B110" s="61">
        <f>IF(A110="","",TEXT(A110,"mmm yyyy"))</f>
        <v/>
      </c>
      <c r="C110" s="62" t="n"/>
      <c r="D110" s="62" t="n"/>
      <c r="E110" s="62" t="n"/>
      <c r="F110" s="62" t="n"/>
      <c r="G110" s="63" t="n"/>
      <c r="H110" s="62" t="n"/>
      <c r="K110">
        <f>IF($C110="","",IF(COUNTIF($C$3:$C110,$C110)=1,$C110,""))</f>
        <v/>
      </c>
      <c r="L110">
        <f>IF($K110="","",$M110+ROW()/10000000)</f>
        <v/>
      </c>
      <c r="M110">
        <f>IF($K110="","",SUMIF($C$3:$C$1002,$K110,$G$3:$G$1002))</f>
        <v/>
      </c>
      <c r="N110">
        <f>IF($K110="","",COUNTIF($C$3:$C$1002,$K110))</f>
        <v/>
      </c>
      <c r="P110">
        <f>IF($A110="","",$A110*100000+ROW())</f>
        <v/>
      </c>
    </row>
    <row r="111" ht="18" customHeight="1">
      <c r="A111" s="60" t="n"/>
      <c r="B111" s="61">
        <f>IF(A111="","",TEXT(A111,"mmm yyyy"))</f>
        <v/>
      </c>
      <c r="C111" s="62" t="n"/>
      <c r="D111" s="62" t="n"/>
      <c r="E111" s="62" t="n"/>
      <c r="F111" s="62" t="n"/>
      <c r="G111" s="63" t="n"/>
      <c r="H111" s="62" t="n"/>
      <c r="K111">
        <f>IF($C111="","",IF(COUNTIF($C$3:$C111,$C111)=1,$C111,""))</f>
        <v/>
      </c>
      <c r="L111">
        <f>IF($K111="","",$M111+ROW()/10000000)</f>
        <v/>
      </c>
      <c r="M111">
        <f>IF($K111="","",SUMIF($C$3:$C$1002,$K111,$G$3:$G$1002))</f>
        <v/>
      </c>
      <c r="N111">
        <f>IF($K111="","",COUNTIF($C$3:$C$1002,$K111))</f>
        <v/>
      </c>
      <c r="P111">
        <f>IF($A111="","",$A111*100000+ROW())</f>
        <v/>
      </c>
    </row>
    <row r="112" ht="18" customHeight="1">
      <c r="A112" s="60" t="n"/>
      <c r="B112" s="61">
        <f>IF(A112="","",TEXT(A112,"mmm yyyy"))</f>
        <v/>
      </c>
      <c r="C112" s="62" t="n"/>
      <c r="D112" s="62" t="n"/>
      <c r="E112" s="62" t="n"/>
      <c r="F112" s="62" t="n"/>
      <c r="G112" s="63" t="n"/>
      <c r="H112" s="62" t="n"/>
      <c r="K112">
        <f>IF($C112="","",IF(COUNTIF($C$3:$C112,$C112)=1,$C112,""))</f>
        <v/>
      </c>
      <c r="L112">
        <f>IF($K112="","",$M112+ROW()/10000000)</f>
        <v/>
      </c>
      <c r="M112">
        <f>IF($K112="","",SUMIF($C$3:$C$1002,$K112,$G$3:$G$1002))</f>
        <v/>
      </c>
      <c r="N112">
        <f>IF($K112="","",COUNTIF($C$3:$C$1002,$K112))</f>
        <v/>
      </c>
      <c r="P112">
        <f>IF($A112="","",$A112*100000+ROW())</f>
        <v/>
      </c>
    </row>
    <row r="113" ht="18" customHeight="1">
      <c r="A113" s="60" t="n"/>
      <c r="B113" s="61">
        <f>IF(A113="","",TEXT(A113,"mmm yyyy"))</f>
        <v/>
      </c>
      <c r="C113" s="62" t="n"/>
      <c r="D113" s="62" t="n"/>
      <c r="E113" s="62" t="n"/>
      <c r="F113" s="62" t="n"/>
      <c r="G113" s="63" t="n"/>
      <c r="H113" s="62" t="n"/>
      <c r="K113">
        <f>IF($C113="","",IF(COUNTIF($C$3:$C113,$C113)=1,$C113,""))</f>
        <v/>
      </c>
      <c r="L113">
        <f>IF($K113="","",$M113+ROW()/10000000)</f>
        <v/>
      </c>
      <c r="M113">
        <f>IF($K113="","",SUMIF($C$3:$C$1002,$K113,$G$3:$G$1002))</f>
        <v/>
      </c>
      <c r="N113">
        <f>IF($K113="","",COUNTIF($C$3:$C$1002,$K113))</f>
        <v/>
      </c>
      <c r="P113">
        <f>IF($A113="","",$A113*100000+ROW())</f>
        <v/>
      </c>
    </row>
    <row r="114" ht="18" customHeight="1">
      <c r="A114" s="60" t="n"/>
      <c r="B114" s="61">
        <f>IF(A114="","",TEXT(A114,"mmm yyyy"))</f>
        <v/>
      </c>
      <c r="C114" s="62" t="n"/>
      <c r="D114" s="62" t="n"/>
      <c r="E114" s="62" t="n"/>
      <c r="F114" s="62" t="n"/>
      <c r="G114" s="63" t="n"/>
      <c r="H114" s="62" t="n"/>
      <c r="K114">
        <f>IF($C114="","",IF(COUNTIF($C$3:$C114,$C114)=1,$C114,""))</f>
        <v/>
      </c>
      <c r="L114">
        <f>IF($K114="","",$M114+ROW()/10000000)</f>
        <v/>
      </c>
      <c r="M114">
        <f>IF($K114="","",SUMIF($C$3:$C$1002,$K114,$G$3:$G$1002))</f>
        <v/>
      </c>
      <c r="N114">
        <f>IF($K114="","",COUNTIF($C$3:$C$1002,$K114))</f>
        <v/>
      </c>
      <c r="P114">
        <f>IF($A114="","",$A114*100000+ROW())</f>
        <v/>
      </c>
    </row>
    <row r="115" ht="18" customHeight="1">
      <c r="A115" s="60" t="n"/>
      <c r="B115" s="61">
        <f>IF(A115="","",TEXT(A115,"mmm yyyy"))</f>
        <v/>
      </c>
      <c r="C115" s="62" t="n"/>
      <c r="D115" s="62" t="n"/>
      <c r="E115" s="62" t="n"/>
      <c r="F115" s="62" t="n"/>
      <c r="G115" s="63" t="n"/>
      <c r="H115" s="62" t="n"/>
      <c r="K115">
        <f>IF($C115="","",IF(COUNTIF($C$3:$C115,$C115)=1,$C115,""))</f>
        <v/>
      </c>
      <c r="L115">
        <f>IF($K115="","",$M115+ROW()/10000000)</f>
        <v/>
      </c>
      <c r="M115">
        <f>IF($K115="","",SUMIF($C$3:$C$1002,$K115,$G$3:$G$1002))</f>
        <v/>
      </c>
      <c r="N115">
        <f>IF($K115="","",COUNTIF($C$3:$C$1002,$K115))</f>
        <v/>
      </c>
      <c r="P115">
        <f>IF($A115="","",$A115*100000+ROW())</f>
        <v/>
      </c>
    </row>
    <row r="116" ht="18" customHeight="1">
      <c r="A116" s="60" t="n"/>
      <c r="B116" s="61">
        <f>IF(A116="","",TEXT(A116,"mmm yyyy"))</f>
        <v/>
      </c>
      <c r="C116" s="62" t="n"/>
      <c r="D116" s="62" t="n"/>
      <c r="E116" s="62" t="n"/>
      <c r="F116" s="62" t="n"/>
      <c r="G116" s="63" t="n"/>
      <c r="H116" s="62" t="n"/>
      <c r="K116">
        <f>IF($C116="","",IF(COUNTIF($C$3:$C116,$C116)=1,$C116,""))</f>
        <v/>
      </c>
      <c r="L116">
        <f>IF($K116="","",$M116+ROW()/10000000)</f>
        <v/>
      </c>
      <c r="M116">
        <f>IF($K116="","",SUMIF($C$3:$C$1002,$K116,$G$3:$G$1002))</f>
        <v/>
      </c>
      <c r="N116">
        <f>IF($K116="","",COUNTIF($C$3:$C$1002,$K116))</f>
        <v/>
      </c>
      <c r="P116">
        <f>IF($A116="","",$A116*100000+ROW())</f>
        <v/>
      </c>
    </row>
    <row r="117" ht="18" customHeight="1">
      <c r="A117" s="60" t="n"/>
      <c r="B117" s="61">
        <f>IF(A117="","",TEXT(A117,"mmm yyyy"))</f>
        <v/>
      </c>
      <c r="C117" s="62" t="n"/>
      <c r="D117" s="62" t="n"/>
      <c r="E117" s="62" t="n"/>
      <c r="F117" s="62" t="n"/>
      <c r="G117" s="63" t="n"/>
      <c r="H117" s="62" t="n"/>
      <c r="K117">
        <f>IF($C117="","",IF(COUNTIF($C$3:$C117,$C117)=1,$C117,""))</f>
        <v/>
      </c>
      <c r="L117">
        <f>IF($K117="","",$M117+ROW()/10000000)</f>
        <v/>
      </c>
      <c r="M117">
        <f>IF($K117="","",SUMIF($C$3:$C$1002,$K117,$G$3:$G$1002))</f>
        <v/>
      </c>
      <c r="N117">
        <f>IF($K117="","",COUNTIF($C$3:$C$1002,$K117))</f>
        <v/>
      </c>
      <c r="P117">
        <f>IF($A117="","",$A117*100000+ROW())</f>
        <v/>
      </c>
    </row>
    <row r="118" ht="18" customHeight="1">
      <c r="A118" s="60" t="n"/>
      <c r="B118" s="61">
        <f>IF(A118="","",TEXT(A118,"mmm yyyy"))</f>
        <v/>
      </c>
      <c r="C118" s="62" t="n"/>
      <c r="D118" s="62" t="n"/>
      <c r="E118" s="62" t="n"/>
      <c r="F118" s="62" t="n"/>
      <c r="G118" s="63" t="n"/>
      <c r="H118" s="62" t="n"/>
      <c r="K118">
        <f>IF($C118="","",IF(COUNTIF($C$3:$C118,$C118)=1,$C118,""))</f>
        <v/>
      </c>
      <c r="L118">
        <f>IF($K118="","",$M118+ROW()/10000000)</f>
        <v/>
      </c>
      <c r="M118">
        <f>IF($K118="","",SUMIF($C$3:$C$1002,$K118,$G$3:$G$1002))</f>
        <v/>
      </c>
      <c r="N118">
        <f>IF($K118="","",COUNTIF($C$3:$C$1002,$K118))</f>
        <v/>
      </c>
      <c r="P118">
        <f>IF($A118="","",$A118*100000+ROW())</f>
        <v/>
      </c>
    </row>
    <row r="119" ht="18" customHeight="1">
      <c r="A119" s="60" t="n"/>
      <c r="B119" s="61">
        <f>IF(A119="","",TEXT(A119,"mmm yyyy"))</f>
        <v/>
      </c>
      <c r="C119" s="62" t="n"/>
      <c r="D119" s="62" t="n"/>
      <c r="E119" s="62" t="n"/>
      <c r="F119" s="62" t="n"/>
      <c r="G119" s="63" t="n"/>
      <c r="H119" s="62" t="n"/>
      <c r="K119">
        <f>IF($C119="","",IF(COUNTIF($C$3:$C119,$C119)=1,$C119,""))</f>
        <v/>
      </c>
      <c r="L119">
        <f>IF($K119="","",$M119+ROW()/10000000)</f>
        <v/>
      </c>
      <c r="M119">
        <f>IF($K119="","",SUMIF($C$3:$C$1002,$K119,$G$3:$G$1002))</f>
        <v/>
      </c>
      <c r="N119">
        <f>IF($K119="","",COUNTIF($C$3:$C$1002,$K119))</f>
        <v/>
      </c>
      <c r="P119">
        <f>IF($A119="","",$A119*100000+ROW())</f>
        <v/>
      </c>
    </row>
    <row r="120" ht="18" customHeight="1">
      <c r="A120" s="60" t="n"/>
      <c r="B120" s="61">
        <f>IF(A120="","",TEXT(A120,"mmm yyyy"))</f>
        <v/>
      </c>
      <c r="C120" s="62" t="n"/>
      <c r="D120" s="62" t="n"/>
      <c r="E120" s="62" t="n"/>
      <c r="F120" s="62" t="n"/>
      <c r="G120" s="63" t="n"/>
      <c r="H120" s="62" t="n"/>
      <c r="K120">
        <f>IF($C120="","",IF(COUNTIF($C$3:$C120,$C120)=1,$C120,""))</f>
        <v/>
      </c>
      <c r="L120">
        <f>IF($K120="","",$M120+ROW()/10000000)</f>
        <v/>
      </c>
      <c r="M120">
        <f>IF($K120="","",SUMIF($C$3:$C$1002,$K120,$G$3:$G$1002))</f>
        <v/>
      </c>
      <c r="N120">
        <f>IF($K120="","",COUNTIF($C$3:$C$1002,$K120))</f>
        <v/>
      </c>
      <c r="P120">
        <f>IF($A120="","",$A120*100000+ROW())</f>
        <v/>
      </c>
    </row>
    <row r="121" ht="18" customHeight="1">
      <c r="A121" s="60" t="n"/>
      <c r="B121" s="61">
        <f>IF(A121="","",TEXT(A121,"mmm yyyy"))</f>
        <v/>
      </c>
      <c r="C121" s="62" t="n"/>
      <c r="D121" s="62" t="n"/>
      <c r="E121" s="62" t="n"/>
      <c r="F121" s="62" t="n"/>
      <c r="G121" s="63" t="n"/>
      <c r="H121" s="62" t="n"/>
      <c r="K121">
        <f>IF($C121="","",IF(COUNTIF($C$3:$C121,$C121)=1,$C121,""))</f>
        <v/>
      </c>
      <c r="L121">
        <f>IF($K121="","",$M121+ROW()/10000000)</f>
        <v/>
      </c>
      <c r="M121">
        <f>IF($K121="","",SUMIF($C$3:$C$1002,$K121,$G$3:$G$1002))</f>
        <v/>
      </c>
      <c r="N121">
        <f>IF($K121="","",COUNTIF($C$3:$C$1002,$K121))</f>
        <v/>
      </c>
      <c r="P121">
        <f>IF($A121="","",$A121*100000+ROW())</f>
        <v/>
      </c>
    </row>
    <row r="122" ht="18" customHeight="1">
      <c r="A122" s="60" t="n"/>
      <c r="B122" s="61">
        <f>IF(A122="","",TEXT(A122,"mmm yyyy"))</f>
        <v/>
      </c>
      <c r="C122" s="62" t="n"/>
      <c r="D122" s="62" t="n"/>
      <c r="E122" s="62" t="n"/>
      <c r="F122" s="62" t="n"/>
      <c r="G122" s="63" t="n"/>
      <c r="H122" s="62" t="n"/>
      <c r="K122">
        <f>IF($C122="","",IF(COUNTIF($C$3:$C122,$C122)=1,$C122,""))</f>
        <v/>
      </c>
      <c r="L122">
        <f>IF($K122="","",$M122+ROW()/10000000)</f>
        <v/>
      </c>
      <c r="M122">
        <f>IF($K122="","",SUMIF($C$3:$C$1002,$K122,$G$3:$G$1002))</f>
        <v/>
      </c>
      <c r="N122">
        <f>IF($K122="","",COUNTIF($C$3:$C$1002,$K122))</f>
        <v/>
      </c>
      <c r="P122">
        <f>IF($A122="","",$A122*100000+ROW())</f>
        <v/>
      </c>
    </row>
    <row r="123" ht="18" customHeight="1">
      <c r="A123" s="60" t="n"/>
      <c r="B123" s="61">
        <f>IF(A123="","",TEXT(A123,"mmm yyyy"))</f>
        <v/>
      </c>
      <c r="C123" s="62" t="n"/>
      <c r="D123" s="62" t="n"/>
      <c r="E123" s="62" t="n"/>
      <c r="F123" s="62" t="n"/>
      <c r="G123" s="63" t="n"/>
      <c r="H123" s="62" t="n"/>
      <c r="K123">
        <f>IF($C123="","",IF(COUNTIF($C$3:$C123,$C123)=1,$C123,""))</f>
        <v/>
      </c>
      <c r="L123">
        <f>IF($K123="","",$M123+ROW()/10000000)</f>
        <v/>
      </c>
      <c r="M123">
        <f>IF($K123="","",SUMIF($C$3:$C$1002,$K123,$G$3:$G$1002))</f>
        <v/>
      </c>
      <c r="N123">
        <f>IF($K123="","",COUNTIF($C$3:$C$1002,$K123))</f>
        <v/>
      </c>
      <c r="P123">
        <f>IF($A123="","",$A123*100000+ROW())</f>
        <v/>
      </c>
    </row>
    <row r="124" ht="18" customHeight="1">
      <c r="A124" s="60" t="n"/>
      <c r="B124" s="61">
        <f>IF(A124="","",TEXT(A124,"mmm yyyy"))</f>
        <v/>
      </c>
      <c r="C124" s="62" t="n"/>
      <c r="D124" s="62" t="n"/>
      <c r="E124" s="62" t="n"/>
      <c r="F124" s="62" t="n"/>
      <c r="G124" s="63" t="n"/>
      <c r="H124" s="62" t="n"/>
      <c r="K124">
        <f>IF($C124="","",IF(COUNTIF($C$3:$C124,$C124)=1,$C124,""))</f>
        <v/>
      </c>
      <c r="L124">
        <f>IF($K124="","",$M124+ROW()/10000000)</f>
        <v/>
      </c>
      <c r="M124">
        <f>IF($K124="","",SUMIF($C$3:$C$1002,$K124,$G$3:$G$1002))</f>
        <v/>
      </c>
      <c r="N124">
        <f>IF($K124="","",COUNTIF($C$3:$C$1002,$K124))</f>
        <v/>
      </c>
      <c r="P124">
        <f>IF($A124="","",$A124*100000+ROW())</f>
        <v/>
      </c>
    </row>
    <row r="125" ht="18" customHeight="1">
      <c r="A125" s="60" t="n"/>
      <c r="B125" s="61">
        <f>IF(A125="","",TEXT(A125,"mmm yyyy"))</f>
        <v/>
      </c>
      <c r="C125" s="62" t="n"/>
      <c r="D125" s="62" t="n"/>
      <c r="E125" s="62" t="n"/>
      <c r="F125" s="62" t="n"/>
      <c r="G125" s="63" t="n"/>
      <c r="H125" s="62" t="n"/>
      <c r="K125">
        <f>IF($C125="","",IF(COUNTIF($C$3:$C125,$C125)=1,$C125,""))</f>
        <v/>
      </c>
      <c r="L125">
        <f>IF($K125="","",$M125+ROW()/10000000)</f>
        <v/>
      </c>
      <c r="M125">
        <f>IF($K125="","",SUMIF($C$3:$C$1002,$K125,$G$3:$G$1002))</f>
        <v/>
      </c>
      <c r="N125">
        <f>IF($K125="","",COUNTIF($C$3:$C$1002,$K125))</f>
        <v/>
      </c>
      <c r="P125">
        <f>IF($A125="","",$A125*100000+ROW())</f>
        <v/>
      </c>
    </row>
    <row r="126" ht="18" customHeight="1">
      <c r="A126" s="60" t="n"/>
      <c r="B126" s="61">
        <f>IF(A126="","",TEXT(A126,"mmm yyyy"))</f>
        <v/>
      </c>
      <c r="C126" s="62" t="n"/>
      <c r="D126" s="62" t="n"/>
      <c r="E126" s="62" t="n"/>
      <c r="F126" s="62" t="n"/>
      <c r="G126" s="63" t="n"/>
      <c r="H126" s="62" t="n"/>
      <c r="K126">
        <f>IF($C126="","",IF(COUNTIF($C$3:$C126,$C126)=1,$C126,""))</f>
        <v/>
      </c>
      <c r="L126">
        <f>IF($K126="","",$M126+ROW()/10000000)</f>
        <v/>
      </c>
      <c r="M126">
        <f>IF($K126="","",SUMIF($C$3:$C$1002,$K126,$G$3:$G$1002))</f>
        <v/>
      </c>
      <c r="N126">
        <f>IF($K126="","",COUNTIF($C$3:$C$1002,$K126))</f>
        <v/>
      </c>
      <c r="P126">
        <f>IF($A126="","",$A126*100000+ROW())</f>
        <v/>
      </c>
    </row>
    <row r="127" ht="18" customHeight="1">
      <c r="A127" s="60" t="n"/>
      <c r="B127" s="61">
        <f>IF(A127="","",TEXT(A127,"mmm yyyy"))</f>
        <v/>
      </c>
      <c r="C127" s="62" t="n"/>
      <c r="D127" s="62" t="n"/>
      <c r="E127" s="62" t="n"/>
      <c r="F127" s="62" t="n"/>
      <c r="G127" s="63" t="n"/>
      <c r="H127" s="62" t="n"/>
      <c r="K127">
        <f>IF($C127="","",IF(COUNTIF($C$3:$C127,$C127)=1,$C127,""))</f>
        <v/>
      </c>
      <c r="L127">
        <f>IF($K127="","",$M127+ROW()/10000000)</f>
        <v/>
      </c>
      <c r="M127">
        <f>IF($K127="","",SUMIF($C$3:$C$1002,$K127,$G$3:$G$1002))</f>
        <v/>
      </c>
      <c r="N127">
        <f>IF($K127="","",COUNTIF($C$3:$C$1002,$K127))</f>
        <v/>
      </c>
      <c r="P127">
        <f>IF($A127="","",$A127*100000+ROW())</f>
        <v/>
      </c>
    </row>
    <row r="128" ht="18" customHeight="1">
      <c r="A128" s="60" t="n"/>
      <c r="B128" s="61">
        <f>IF(A128="","",TEXT(A128,"mmm yyyy"))</f>
        <v/>
      </c>
      <c r="C128" s="62" t="n"/>
      <c r="D128" s="62" t="n"/>
      <c r="E128" s="62" t="n"/>
      <c r="F128" s="62" t="n"/>
      <c r="G128" s="63" t="n"/>
      <c r="H128" s="62" t="n"/>
      <c r="K128">
        <f>IF($C128="","",IF(COUNTIF($C$3:$C128,$C128)=1,$C128,""))</f>
        <v/>
      </c>
      <c r="L128">
        <f>IF($K128="","",$M128+ROW()/10000000)</f>
        <v/>
      </c>
      <c r="M128">
        <f>IF($K128="","",SUMIF($C$3:$C$1002,$K128,$G$3:$G$1002))</f>
        <v/>
      </c>
      <c r="N128">
        <f>IF($K128="","",COUNTIF($C$3:$C$1002,$K128))</f>
        <v/>
      </c>
      <c r="P128">
        <f>IF($A128="","",$A128*100000+ROW())</f>
        <v/>
      </c>
    </row>
    <row r="129" ht="18" customHeight="1">
      <c r="A129" s="60" t="n"/>
      <c r="B129" s="61">
        <f>IF(A129="","",TEXT(A129,"mmm yyyy"))</f>
        <v/>
      </c>
      <c r="C129" s="62" t="n"/>
      <c r="D129" s="62" t="n"/>
      <c r="E129" s="62" t="n"/>
      <c r="F129" s="62" t="n"/>
      <c r="G129" s="63" t="n"/>
      <c r="H129" s="62" t="n"/>
      <c r="K129">
        <f>IF($C129="","",IF(COUNTIF($C$3:$C129,$C129)=1,$C129,""))</f>
        <v/>
      </c>
      <c r="L129">
        <f>IF($K129="","",$M129+ROW()/10000000)</f>
        <v/>
      </c>
      <c r="M129">
        <f>IF($K129="","",SUMIF($C$3:$C$1002,$K129,$G$3:$G$1002))</f>
        <v/>
      </c>
      <c r="N129">
        <f>IF($K129="","",COUNTIF($C$3:$C$1002,$K129))</f>
        <v/>
      </c>
      <c r="P129">
        <f>IF($A129="","",$A129*100000+ROW())</f>
        <v/>
      </c>
    </row>
    <row r="130" ht="18" customHeight="1">
      <c r="A130" s="60" t="n"/>
      <c r="B130" s="61">
        <f>IF(A130="","",TEXT(A130,"mmm yyyy"))</f>
        <v/>
      </c>
      <c r="C130" s="62" t="n"/>
      <c r="D130" s="62" t="n"/>
      <c r="E130" s="62" t="n"/>
      <c r="F130" s="62" t="n"/>
      <c r="G130" s="63" t="n"/>
      <c r="H130" s="62" t="n"/>
      <c r="K130">
        <f>IF($C130="","",IF(COUNTIF($C$3:$C130,$C130)=1,$C130,""))</f>
        <v/>
      </c>
      <c r="L130">
        <f>IF($K130="","",$M130+ROW()/10000000)</f>
        <v/>
      </c>
      <c r="M130">
        <f>IF($K130="","",SUMIF($C$3:$C$1002,$K130,$G$3:$G$1002))</f>
        <v/>
      </c>
      <c r="N130">
        <f>IF($K130="","",COUNTIF($C$3:$C$1002,$K130))</f>
        <v/>
      </c>
      <c r="P130">
        <f>IF($A130="","",$A130*100000+ROW())</f>
        <v/>
      </c>
    </row>
    <row r="131" ht="18" customHeight="1">
      <c r="A131" s="60" t="n"/>
      <c r="B131" s="61">
        <f>IF(A131="","",TEXT(A131,"mmm yyyy"))</f>
        <v/>
      </c>
      <c r="C131" s="62" t="n"/>
      <c r="D131" s="62" t="n"/>
      <c r="E131" s="62" t="n"/>
      <c r="F131" s="62" t="n"/>
      <c r="G131" s="63" t="n"/>
      <c r="H131" s="62" t="n"/>
      <c r="K131">
        <f>IF($C131="","",IF(COUNTIF($C$3:$C131,$C131)=1,$C131,""))</f>
        <v/>
      </c>
      <c r="L131">
        <f>IF($K131="","",$M131+ROW()/10000000)</f>
        <v/>
      </c>
      <c r="M131">
        <f>IF($K131="","",SUMIF($C$3:$C$1002,$K131,$G$3:$G$1002))</f>
        <v/>
      </c>
      <c r="N131">
        <f>IF($K131="","",COUNTIF($C$3:$C$1002,$K131))</f>
        <v/>
      </c>
      <c r="P131">
        <f>IF($A131="","",$A131*100000+ROW())</f>
        <v/>
      </c>
    </row>
    <row r="132" ht="18" customHeight="1">
      <c r="A132" s="60" t="n"/>
      <c r="B132" s="61">
        <f>IF(A132="","",TEXT(A132,"mmm yyyy"))</f>
        <v/>
      </c>
      <c r="C132" s="62" t="n"/>
      <c r="D132" s="62" t="n"/>
      <c r="E132" s="62" t="n"/>
      <c r="F132" s="62" t="n"/>
      <c r="G132" s="63" t="n"/>
      <c r="H132" s="62" t="n"/>
      <c r="K132">
        <f>IF($C132="","",IF(COUNTIF($C$3:$C132,$C132)=1,$C132,""))</f>
        <v/>
      </c>
      <c r="L132">
        <f>IF($K132="","",$M132+ROW()/10000000)</f>
        <v/>
      </c>
      <c r="M132">
        <f>IF($K132="","",SUMIF($C$3:$C$1002,$K132,$G$3:$G$1002))</f>
        <v/>
      </c>
      <c r="N132">
        <f>IF($K132="","",COUNTIF($C$3:$C$1002,$K132))</f>
        <v/>
      </c>
      <c r="P132">
        <f>IF($A132="","",$A132*100000+ROW())</f>
        <v/>
      </c>
    </row>
    <row r="133" ht="18" customHeight="1">
      <c r="A133" s="60" t="n"/>
      <c r="B133" s="61">
        <f>IF(A133="","",TEXT(A133,"mmm yyyy"))</f>
        <v/>
      </c>
      <c r="C133" s="62" t="n"/>
      <c r="D133" s="62" t="n"/>
      <c r="E133" s="62" t="n"/>
      <c r="F133" s="62" t="n"/>
      <c r="G133" s="63" t="n"/>
      <c r="H133" s="62" t="n"/>
      <c r="K133">
        <f>IF($C133="","",IF(COUNTIF($C$3:$C133,$C133)=1,$C133,""))</f>
        <v/>
      </c>
      <c r="L133">
        <f>IF($K133="","",$M133+ROW()/10000000)</f>
        <v/>
      </c>
      <c r="M133">
        <f>IF($K133="","",SUMIF($C$3:$C$1002,$K133,$G$3:$G$1002))</f>
        <v/>
      </c>
      <c r="N133">
        <f>IF($K133="","",COUNTIF($C$3:$C$1002,$K133))</f>
        <v/>
      </c>
      <c r="P133">
        <f>IF($A133="","",$A133*100000+ROW())</f>
        <v/>
      </c>
    </row>
    <row r="134" ht="18" customHeight="1">
      <c r="A134" s="60" t="n"/>
      <c r="B134" s="61">
        <f>IF(A134="","",TEXT(A134,"mmm yyyy"))</f>
        <v/>
      </c>
      <c r="C134" s="62" t="n"/>
      <c r="D134" s="62" t="n"/>
      <c r="E134" s="62" t="n"/>
      <c r="F134" s="62" t="n"/>
      <c r="G134" s="63" t="n"/>
      <c r="H134" s="62" t="n"/>
      <c r="K134">
        <f>IF($C134="","",IF(COUNTIF($C$3:$C134,$C134)=1,$C134,""))</f>
        <v/>
      </c>
      <c r="L134">
        <f>IF($K134="","",$M134+ROW()/10000000)</f>
        <v/>
      </c>
      <c r="M134">
        <f>IF($K134="","",SUMIF($C$3:$C$1002,$K134,$G$3:$G$1002))</f>
        <v/>
      </c>
      <c r="N134">
        <f>IF($K134="","",COUNTIF($C$3:$C$1002,$K134))</f>
        <v/>
      </c>
      <c r="P134">
        <f>IF($A134="","",$A134*100000+ROW())</f>
        <v/>
      </c>
    </row>
    <row r="135" ht="18" customHeight="1">
      <c r="A135" s="60" t="n"/>
      <c r="B135" s="61">
        <f>IF(A135="","",TEXT(A135,"mmm yyyy"))</f>
        <v/>
      </c>
      <c r="C135" s="62" t="n"/>
      <c r="D135" s="62" t="n"/>
      <c r="E135" s="62" t="n"/>
      <c r="F135" s="62" t="n"/>
      <c r="G135" s="63" t="n"/>
      <c r="H135" s="62" t="n"/>
      <c r="K135">
        <f>IF($C135="","",IF(COUNTIF($C$3:$C135,$C135)=1,$C135,""))</f>
        <v/>
      </c>
      <c r="L135">
        <f>IF($K135="","",$M135+ROW()/10000000)</f>
        <v/>
      </c>
      <c r="M135">
        <f>IF($K135="","",SUMIF($C$3:$C$1002,$K135,$G$3:$G$1002))</f>
        <v/>
      </c>
      <c r="N135">
        <f>IF($K135="","",COUNTIF($C$3:$C$1002,$K135))</f>
        <v/>
      </c>
      <c r="P135">
        <f>IF($A135="","",$A135*100000+ROW())</f>
        <v/>
      </c>
    </row>
    <row r="136" ht="18" customHeight="1">
      <c r="A136" s="60" t="n"/>
      <c r="B136" s="61">
        <f>IF(A136="","",TEXT(A136,"mmm yyyy"))</f>
        <v/>
      </c>
      <c r="C136" s="62" t="n"/>
      <c r="D136" s="62" t="n"/>
      <c r="E136" s="62" t="n"/>
      <c r="F136" s="62" t="n"/>
      <c r="G136" s="63" t="n"/>
      <c r="H136" s="62" t="n"/>
      <c r="K136">
        <f>IF($C136="","",IF(COUNTIF($C$3:$C136,$C136)=1,$C136,""))</f>
        <v/>
      </c>
      <c r="L136">
        <f>IF($K136="","",$M136+ROW()/10000000)</f>
        <v/>
      </c>
      <c r="M136">
        <f>IF($K136="","",SUMIF($C$3:$C$1002,$K136,$G$3:$G$1002))</f>
        <v/>
      </c>
      <c r="N136">
        <f>IF($K136="","",COUNTIF($C$3:$C$1002,$K136))</f>
        <v/>
      </c>
      <c r="P136">
        <f>IF($A136="","",$A136*100000+ROW())</f>
        <v/>
      </c>
    </row>
    <row r="137" ht="18" customHeight="1">
      <c r="A137" s="60" t="n"/>
      <c r="B137" s="61">
        <f>IF(A137="","",TEXT(A137,"mmm yyyy"))</f>
        <v/>
      </c>
      <c r="C137" s="62" t="n"/>
      <c r="D137" s="62" t="n"/>
      <c r="E137" s="62" t="n"/>
      <c r="F137" s="62" t="n"/>
      <c r="G137" s="63" t="n"/>
      <c r="H137" s="62" t="n"/>
      <c r="K137">
        <f>IF($C137="","",IF(COUNTIF($C$3:$C137,$C137)=1,$C137,""))</f>
        <v/>
      </c>
      <c r="L137">
        <f>IF($K137="","",$M137+ROW()/10000000)</f>
        <v/>
      </c>
      <c r="M137">
        <f>IF($K137="","",SUMIF($C$3:$C$1002,$K137,$G$3:$G$1002))</f>
        <v/>
      </c>
      <c r="N137">
        <f>IF($K137="","",COUNTIF($C$3:$C$1002,$K137))</f>
        <v/>
      </c>
      <c r="P137">
        <f>IF($A137="","",$A137*100000+ROW())</f>
        <v/>
      </c>
    </row>
    <row r="138" ht="18" customHeight="1">
      <c r="A138" s="60" t="n"/>
      <c r="B138" s="61">
        <f>IF(A138="","",TEXT(A138,"mmm yyyy"))</f>
        <v/>
      </c>
      <c r="C138" s="62" t="n"/>
      <c r="D138" s="62" t="n"/>
      <c r="E138" s="62" t="n"/>
      <c r="F138" s="62" t="n"/>
      <c r="G138" s="63" t="n"/>
      <c r="H138" s="62" t="n"/>
      <c r="K138">
        <f>IF($C138="","",IF(COUNTIF($C$3:$C138,$C138)=1,$C138,""))</f>
        <v/>
      </c>
      <c r="L138">
        <f>IF($K138="","",$M138+ROW()/10000000)</f>
        <v/>
      </c>
      <c r="M138">
        <f>IF($K138="","",SUMIF($C$3:$C$1002,$K138,$G$3:$G$1002))</f>
        <v/>
      </c>
      <c r="N138">
        <f>IF($K138="","",COUNTIF($C$3:$C$1002,$K138))</f>
        <v/>
      </c>
      <c r="P138">
        <f>IF($A138="","",$A138*100000+ROW())</f>
        <v/>
      </c>
    </row>
    <row r="139" ht="18" customHeight="1">
      <c r="A139" s="60" t="n"/>
      <c r="B139" s="61">
        <f>IF(A139="","",TEXT(A139,"mmm yyyy"))</f>
        <v/>
      </c>
      <c r="C139" s="62" t="n"/>
      <c r="D139" s="62" t="n"/>
      <c r="E139" s="62" t="n"/>
      <c r="F139" s="62" t="n"/>
      <c r="G139" s="63" t="n"/>
      <c r="H139" s="62" t="n"/>
      <c r="K139">
        <f>IF($C139="","",IF(COUNTIF($C$3:$C139,$C139)=1,$C139,""))</f>
        <v/>
      </c>
      <c r="L139">
        <f>IF($K139="","",$M139+ROW()/10000000)</f>
        <v/>
      </c>
      <c r="M139">
        <f>IF($K139="","",SUMIF($C$3:$C$1002,$K139,$G$3:$G$1002))</f>
        <v/>
      </c>
      <c r="N139">
        <f>IF($K139="","",COUNTIF($C$3:$C$1002,$K139))</f>
        <v/>
      </c>
      <c r="P139">
        <f>IF($A139="","",$A139*100000+ROW())</f>
        <v/>
      </c>
    </row>
    <row r="140" ht="18" customHeight="1">
      <c r="A140" s="60" t="n"/>
      <c r="B140" s="61">
        <f>IF(A140="","",TEXT(A140,"mmm yyyy"))</f>
        <v/>
      </c>
      <c r="C140" s="62" t="n"/>
      <c r="D140" s="62" t="n"/>
      <c r="E140" s="62" t="n"/>
      <c r="F140" s="62" t="n"/>
      <c r="G140" s="63" t="n"/>
      <c r="H140" s="62" t="n"/>
      <c r="K140">
        <f>IF($C140="","",IF(COUNTIF($C$3:$C140,$C140)=1,$C140,""))</f>
        <v/>
      </c>
      <c r="L140">
        <f>IF($K140="","",$M140+ROW()/10000000)</f>
        <v/>
      </c>
      <c r="M140">
        <f>IF($K140="","",SUMIF($C$3:$C$1002,$K140,$G$3:$G$1002))</f>
        <v/>
      </c>
      <c r="N140">
        <f>IF($K140="","",COUNTIF($C$3:$C$1002,$K140))</f>
        <v/>
      </c>
      <c r="P140">
        <f>IF($A140="","",$A140*100000+ROW())</f>
        <v/>
      </c>
    </row>
    <row r="141" ht="18" customHeight="1">
      <c r="A141" s="60" t="n"/>
      <c r="B141" s="61">
        <f>IF(A141="","",TEXT(A141,"mmm yyyy"))</f>
        <v/>
      </c>
      <c r="C141" s="62" t="n"/>
      <c r="D141" s="62" t="n"/>
      <c r="E141" s="62" t="n"/>
      <c r="F141" s="62" t="n"/>
      <c r="G141" s="63" t="n"/>
      <c r="H141" s="62" t="n"/>
      <c r="K141">
        <f>IF($C141="","",IF(COUNTIF($C$3:$C141,$C141)=1,$C141,""))</f>
        <v/>
      </c>
      <c r="L141">
        <f>IF($K141="","",$M141+ROW()/10000000)</f>
        <v/>
      </c>
      <c r="M141">
        <f>IF($K141="","",SUMIF($C$3:$C$1002,$K141,$G$3:$G$1002))</f>
        <v/>
      </c>
      <c r="N141">
        <f>IF($K141="","",COUNTIF($C$3:$C$1002,$K141))</f>
        <v/>
      </c>
      <c r="P141">
        <f>IF($A141="","",$A141*100000+ROW())</f>
        <v/>
      </c>
    </row>
    <row r="142" ht="18" customHeight="1">
      <c r="A142" s="60" t="n"/>
      <c r="B142" s="61">
        <f>IF(A142="","",TEXT(A142,"mmm yyyy"))</f>
        <v/>
      </c>
      <c r="C142" s="62" t="n"/>
      <c r="D142" s="62" t="n"/>
      <c r="E142" s="62" t="n"/>
      <c r="F142" s="62" t="n"/>
      <c r="G142" s="63" t="n"/>
      <c r="H142" s="62" t="n"/>
      <c r="K142">
        <f>IF($C142="","",IF(COUNTIF($C$3:$C142,$C142)=1,$C142,""))</f>
        <v/>
      </c>
      <c r="L142">
        <f>IF($K142="","",$M142+ROW()/10000000)</f>
        <v/>
      </c>
      <c r="M142">
        <f>IF($K142="","",SUMIF($C$3:$C$1002,$K142,$G$3:$G$1002))</f>
        <v/>
      </c>
      <c r="N142">
        <f>IF($K142="","",COUNTIF($C$3:$C$1002,$K142))</f>
        <v/>
      </c>
      <c r="P142">
        <f>IF($A142="","",$A142*100000+ROW())</f>
        <v/>
      </c>
    </row>
    <row r="143" ht="18" customHeight="1">
      <c r="A143" s="60" t="n"/>
      <c r="B143" s="61">
        <f>IF(A143="","",TEXT(A143,"mmm yyyy"))</f>
        <v/>
      </c>
      <c r="C143" s="62" t="n"/>
      <c r="D143" s="62" t="n"/>
      <c r="E143" s="62" t="n"/>
      <c r="F143" s="62" t="n"/>
      <c r="G143" s="63" t="n"/>
      <c r="H143" s="62" t="n"/>
      <c r="K143">
        <f>IF($C143="","",IF(COUNTIF($C$3:$C143,$C143)=1,$C143,""))</f>
        <v/>
      </c>
      <c r="L143">
        <f>IF($K143="","",$M143+ROW()/10000000)</f>
        <v/>
      </c>
      <c r="M143">
        <f>IF($K143="","",SUMIF($C$3:$C$1002,$K143,$G$3:$G$1002))</f>
        <v/>
      </c>
      <c r="N143">
        <f>IF($K143="","",COUNTIF($C$3:$C$1002,$K143))</f>
        <v/>
      </c>
      <c r="P143">
        <f>IF($A143="","",$A143*100000+ROW())</f>
        <v/>
      </c>
    </row>
    <row r="144" ht="18" customHeight="1">
      <c r="A144" s="60" t="n"/>
      <c r="B144" s="61">
        <f>IF(A144="","",TEXT(A144,"mmm yyyy"))</f>
        <v/>
      </c>
      <c r="C144" s="62" t="n"/>
      <c r="D144" s="62" t="n"/>
      <c r="E144" s="62" t="n"/>
      <c r="F144" s="62" t="n"/>
      <c r="G144" s="63" t="n"/>
      <c r="H144" s="62" t="n"/>
      <c r="K144">
        <f>IF($C144="","",IF(COUNTIF($C$3:$C144,$C144)=1,$C144,""))</f>
        <v/>
      </c>
      <c r="L144">
        <f>IF($K144="","",$M144+ROW()/10000000)</f>
        <v/>
      </c>
      <c r="M144">
        <f>IF($K144="","",SUMIF($C$3:$C$1002,$K144,$G$3:$G$1002))</f>
        <v/>
      </c>
      <c r="N144">
        <f>IF($K144="","",COUNTIF($C$3:$C$1002,$K144))</f>
        <v/>
      </c>
      <c r="P144">
        <f>IF($A144="","",$A144*100000+ROW())</f>
        <v/>
      </c>
    </row>
    <row r="145" ht="18" customHeight="1">
      <c r="A145" s="60" t="n"/>
      <c r="B145" s="61">
        <f>IF(A145="","",TEXT(A145,"mmm yyyy"))</f>
        <v/>
      </c>
      <c r="C145" s="62" t="n"/>
      <c r="D145" s="62" t="n"/>
      <c r="E145" s="62" t="n"/>
      <c r="F145" s="62" t="n"/>
      <c r="G145" s="63" t="n"/>
      <c r="H145" s="62" t="n"/>
      <c r="K145">
        <f>IF($C145="","",IF(COUNTIF($C$3:$C145,$C145)=1,$C145,""))</f>
        <v/>
      </c>
      <c r="L145">
        <f>IF($K145="","",$M145+ROW()/10000000)</f>
        <v/>
      </c>
      <c r="M145">
        <f>IF($K145="","",SUMIF($C$3:$C$1002,$K145,$G$3:$G$1002))</f>
        <v/>
      </c>
      <c r="N145">
        <f>IF($K145="","",COUNTIF($C$3:$C$1002,$K145))</f>
        <v/>
      </c>
      <c r="P145">
        <f>IF($A145="","",$A145*100000+ROW())</f>
        <v/>
      </c>
    </row>
    <row r="146" ht="18" customHeight="1">
      <c r="A146" s="60" t="n"/>
      <c r="B146" s="61">
        <f>IF(A146="","",TEXT(A146,"mmm yyyy"))</f>
        <v/>
      </c>
      <c r="C146" s="62" t="n"/>
      <c r="D146" s="62" t="n"/>
      <c r="E146" s="62" t="n"/>
      <c r="F146" s="62" t="n"/>
      <c r="G146" s="63" t="n"/>
      <c r="H146" s="62" t="n"/>
      <c r="K146">
        <f>IF($C146="","",IF(COUNTIF($C$3:$C146,$C146)=1,$C146,""))</f>
        <v/>
      </c>
      <c r="L146">
        <f>IF($K146="","",$M146+ROW()/10000000)</f>
        <v/>
      </c>
      <c r="M146">
        <f>IF($K146="","",SUMIF($C$3:$C$1002,$K146,$G$3:$G$1002))</f>
        <v/>
      </c>
      <c r="N146">
        <f>IF($K146="","",COUNTIF($C$3:$C$1002,$K146))</f>
        <v/>
      </c>
      <c r="P146">
        <f>IF($A146="","",$A146*100000+ROW())</f>
        <v/>
      </c>
    </row>
    <row r="147" ht="18" customHeight="1">
      <c r="A147" s="60" t="n"/>
      <c r="B147" s="61">
        <f>IF(A147="","",TEXT(A147,"mmm yyyy"))</f>
        <v/>
      </c>
      <c r="C147" s="62" t="n"/>
      <c r="D147" s="62" t="n"/>
      <c r="E147" s="62" t="n"/>
      <c r="F147" s="62" t="n"/>
      <c r="G147" s="63" t="n"/>
      <c r="H147" s="62" t="n"/>
      <c r="K147">
        <f>IF($C147="","",IF(COUNTIF($C$3:$C147,$C147)=1,$C147,""))</f>
        <v/>
      </c>
      <c r="L147">
        <f>IF($K147="","",$M147+ROW()/10000000)</f>
        <v/>
      </c>
      <c r="M147">
        <f>IF($K147="","",SUMIF($C$3:$C$1002,$K147,$G$3:$G$1002))</f>
        <v/>
      </c>
      <c r="N147">
        <f>IF($K147="","",COUNTIF($C$3:$C$1002,$K147))</f>
        <v/>
      </c>
      <c r="P147">
        <f>IF($A147="","",$A147*100000+ROW())</f>
        <v/>
      </c>
    </row>
    <row r="148" ht="18" customHeight="1">
      <c r="A148" s="60" t="n"/>
      <c r="B148" s="61">
        <f>IF(A148="","",TEXT(A148,"mmm yyyy"))</f>
        <v/>
      </c>
      <c r="C148" s="62" t="n"/>
      <c r="D148" s="62" t="n"/>
      <c r="E148" s="62" t="n"/>
      <c r="F148" s="62" t="n"/>
      <c r="G148" s="63" t="n"/>
      <c r="H148" s="62" t="n"/>
      <c r="K148">
        <f>IF($C148="","",IF(COUNTIF($C$3:$C148,$C148)=1,$C148,""))</f>
        <v/>
      </c>
      <c r="L148">
        <f>IF($K148="","",$M148+ROW()/10000000)</f>
        <v/>
      </c>
      <c r="M148">
        <f>IF($K148="","",SUMIF($C$3:$C$1002,$K148,$G$3:$G$1002))</f>
        <v/>
      </c>
      <c r="N148">
        <f>IF($K148="","",COUNTIF($C$3:$C$1002,$K148))</f>
        <v/>
      </c>
      <c r="P148">
        <f>IF($A148="","",$A148*100000+ROW())</f>
        <v/>
      </c>
    </row>
    <row r="149" ht="18" customHeight="1">
      <c r="A149" s="60" t="n"/>
      <c r="B149" s="61">
        <f>IF(A149="","",TEXT(A149,"mmm yyyy"))</f>
        <v/>
      </c>
      <c r="C149" s="62" t="n"/>
      <c r="D149" s="62" t="n"/>
      <c r="E149" s="62" t="n"/>
      <c r="F149" s="62" t="n"/>
      <c r="G149" s="63" t="n"/>
      <c r="H149" s="62" t="n"/>
      <c r="K149">
        <f>IF($C149="","",IF(COUNTIF($C$3:$C149,$C149)=1,$C149,""))</f>
        <v/>
      </c>
      <c r="L149">
        <f>IF($K149="","",$M149+ROW()/10000000)</f>
        <v/>
      </c>
      <c r="M149">
        <f>IF($K149="","",SUMIF($C$3:$C$1002,$K149,$G$3:$G$1002))</f>
        <v/>
      </c>
      <c r="N149">
        <f>IF($K149="","",COUNTIF($C$3:$C$1002,$K149))</f>
        <v/>
      </c>
      <c r="P149">
        <f>IF($A149="","",$A149*100000+ROW())</f>
        <v/>
      </c>
    </row>
    <row r="150" ht="18" customHeight="1">
      <c r="A150" s="60" t="n"/>
      <c r="B150" s="61">
        <f>IF(A150="","",TEXT(A150,"mmm yyyy"))</f>
        <v/>
      </c>
      <c r="C150" s="62" t="n"/>
      <c r="D150" s="62" t="n"/>
      <c r="E150" s="62" t="n"/>
      <c r="F150" s="62" t="n"/>
      <c r="G150" s="63" t="n"/>
      <c r="H150" s="62" t="n"/>
      <c r="K150">
        <f>IF($C150="","",IF(COUNTIF($C$3:$C150,$C150)=1,$C150,""))</f>
        <v/>
      </c>
      <c r="L150">
        <f>IF($K150="","",$M150+ROW()/10000000)</f>
        <v/>
      </c>
      <c r="M150">
        <f>IF($K150="","",SUMIF($C$3:$C$1002,$K150,$G$3:$G$1002))</f>
        <v/>
      </c>
      <c r="N150">
        <f>IF($K150="","",COUNTIF($C$3:$C$1002,$K150))</f>
        <v/>
      </c>
      <c r="P150">
        <f>IF($A150="","",$A150*100000+ROW())</f>
        <v/>
      </c>
    </row>
    <row r="151" ht="18" customHeight="1">
      <c r="A151" s="60" t="n"/>
      <c r="B151" s="61">
        <f>IF(A151="","",TEXT(A151,"mmm yyyy"))</f>
        <v/>
      </c>
      <c r="C151" s="62" t="n"/>
      <c r="D151" s="62" t="n"/>
      <c r="E151" s="62" t="n"/>
      <c r="F151" s="62" t="n"/>
      <c r="G151" s="63" t="n"/>
      <c r="H151" s="62" t="n"/>
      <c r="K151">
        <f>IF($C151="","",IF(COUNTIF($C$3:$C151,$C151)=1,$C151,""))</f>
        <v/>
      </c>
      <c r="L151">
        <f>IF($K151="","",$M151+ROW()/10000000)</f>
        <v/>
      </c>
      <c r="M151">
        <f>IF($K151="","",SUMIF($C$3:$C$1002,$K151,$G$3:$G$1002))</f>
        <v/>
      </c>
      <c r="N151">
        <f>IF($K151="","",COUNTIF($C$3:$C$1002,$K151))</f>
        <v/>
      </c>
      <c r="P151">
        <f>IF($A151="","",$A151*100000+ROW())</f>
        <v/>
      </c>
    </row>
    <row r="152" ht="18" customHeight="1">
      <c r="A152" s="60" t="n"/>
      <c r="B152" s="61">
        <f>IF(A152="","",TEXT(A152,"mmm yyyy"))</f>
        <v/>
      </c>
      <c r="C152" s="62" t="n"/>
      <c r="D152" s="62" t="n"/>
      <c r="E152" s="62" t="n"/>
      <c r="F152" s="62" t="n"/>
      <c r="G152" s="63" t="n"/>
      <c r="H152" s="62" t="n"/>
      <c r="K152">
        <f>IF($C152="","",IF(COUNTIF($C$3:$C152,$C152)=1,$C152,""))</f>
        <v/>
      </c>
      <c r="L152">
        <f>IF($K152="","",$M152+ROW()/10000000)</f>
        <v/>
      </c>
      <c r="M152">
        <f>IF($K152="","",SUMIF($C$3:$C$1002,$K152,$G$3:$G$1002))</f>
        <v/>
      </c>
      <c r="N152">
        <f>IF($K152="","",COUNTIF($C$3:$C$1002,$K152))</f>
        <v/>
      </c>
      <c r="P152">
        <f>IF($A152="","",$A152*100000+ROW())</f>
        <v/>
      </c>
    </row>
    <row r="153" ht="18" customHeight="1">
      <c r="A153" s="60" t="n"/>
      <c r="B153" s="61">
        <f>IF(A153="","",TEXT(A153,"mmm yyyy"))</f>
        <v/>
      </c>
      <c r="C153" s="62" t="n"/>
      <c r="D153" s="62" t="n"/>
      <c r="E153" s="62" t="n"/>
      <c r="F153" s="62" t="n"/>
      <c r="G153" s="63" t="n"/>
      <c r="H153" s="62" t="n"/>
      <c r="K153">
        <f>IF($C153="","",IF(COUNTIF($C$3:$C153,$C153)=1,$C153,""))</f>
        <v/>
      </c>
      <c r="L153">
        <f>IF($K153="","",$M153+ROW()/10000000)</f>
        <v/>
      </c>
      <c r="M153">
        <f>IF($K153="","",SUMIF($C$3:$C$1002,$K153,$G$3:$G$1002))</f>
        <v/>
      </c>
      <c r="N153">
        <f>IF($K153="","",COUNTIF($C$3:$C$1002,$K153))</f>
        <v/>
      </c>
      <c r="P153">
        <f>IF($A153="","",$A153*100000+ROW())</f>
        <v/>
      </c>
    </row>
    <row r="154" ht="18" customHeight="1">
      <c r="A154" s="60" t="n"/>
      <c r="B154" s="61">
        <f>IF(A154="","",TEXT(A154,"mmm yyyy"))</f>
        <v/>
      </c>
      <c r="C154" s="62" t="n"/>
      <c r="D154" s="62" t="n"/>
      <c r="E154" s="62" t="n"/>
      <c r="F154" s="62" t="n"/>
      <c r="G154" s="63" t="n"/>
      <c r="H154" s="62" t="n"/>
      <c r="K154">
        <f>IF($C154="","",IF(COUNTIF($C$3:$C154,$C154)=1,$C154,""))</f>
        <v/>
      </c>
      <c r="L154">
        <f>IF($K154="","",$M154+ROW()/10000000)</f>
        <v/>
      </c>
      <c r="M154">
        <f>IF($K154="","",SUMIF($C$3:$C$1002,$K154,$G$3:$G$1002))</f>
        <v/>
      </c>
      <c r="N154">
        <f>IF($K154="","",COUNTIF($C$3:$C$1002,$K154))</f>
        <v/>
      </c>
      <c r="P154">
        <f>IF($A154="","",$A154*100000+ROW())</f>
        <v/>
      </c>
    </row>
    <row r="155" ht="18" customHeight="1">
      <c r="A155" s="60" t="n"/>
      <c r="B155" s="61">
        <f>IF(A155="","",TEXT(A155,"mmm yyyy"))</f>
        <v/>
      </c>
      <c r="C155" s="62" t="n"/>
      <c r="D155" s="62" t="n"/>
      <c r="E155" s="62" t="n"/>
      <c r="F155" s="62" t="n"/>
      <c r="G155" s="63" t="n"/>
      <c r="H155" s="62" t="n"/>
      <c r="K155">
        <f>IF($C155="","",IF(COUNTIF($C$3:$C155,$C155)=1,$C155,""))</f>
        <v/>
      </c>
      <c r="L155">
        <f>IF($K155="","",$M155+ROW()/10000000)</f>
        <v/>
      </c>
      <c r="M155">
        <f>IF($K155="","",SUMIF($C$3:$C$1002,$K155,$G$3:$G$1002))</f>
        <v/>
      </c>
      <c r="N155">
        <f>IF($K155="","",COUNTIF($C$3:$C$1002,$K155))</f>
        <v/>
      </c>
      <c r="P155">
        <f>IF($A155="","",$A155*100000+ROW())</f>
        <v/>
      </c>
    </row>
    <row r="156" ht="18" customHeight="1">
      <c r="A156" s="60" t="n"/>
      <c r="B156" s="61">
        <f>IF(A156="","",TEXT(A156,"mmm yyyy"))</f>
        <v/>
      </c>
      <c r="C156" s="62" t="n"/>
      <c r="D156" s="62" t="n"/>
      <c r="E156" s="62" t="n"/>
      <c r="F156" s="62" t="n"/>
      <c r="G156" s="63" t="n"/>
      <c r="H156" s="62" t="n"/>
      <c r="K156">
        <f>IF($C156="","",IF(COUNTIF($C$3:$C156,$C156)=1,$C156,""))</f>
        <v/>
      </c>
      <c r="L156">
        <f>IF($K156="","",$M156+ROW()/10000000)</f>
        <v/>
      </c>
      <c r="M156">
        <f>IF($K156="","",SUMIF($C$3:$C$1002,$K156,$G$3:$G$1002))</f>
        <v/>
      </c>
      <c r="N156">
        <f>IF($K156="","",COUNTIF($C$3:$C$1002,$K156))</f>
        <v/>
      </c>
      <c r="P156">
        <f>IF($A156="","",$A156*100000+ROW())</f>
        <v/>
      </c>
    </row>
    <row r="157" ht="18" customHeight="1">
      <c r="A157" s="60" t="n"/>
      <c r="B157" s="61">
        <f>IF(A157="","",TEXT(A157,"mmm yyyy"))</f>
        <v/>
      </c>
      <c r="C157" s="62" t="n"/>
      <c r="D157" s="62" t="n"/>
      <c r="E157" s="62" t="n"/>
      <c r="F157" s="62" t="n"/>
      <c r="G157" s="63" t="n"/>
      <c r="H157" s="62" t="n"/>
      <c r="K157">
        <f>IF($C157="","",IF(COUNTIF($C$3:$C157,$C157)=1,$C157,""))</f>
        <v/>
      </c>
      <c r="L157">
        <f>IF($K157="","",$M157+ROW()/10000000)</f>
        <v/>
      </c>
      <c r="M157">
        <f>IF($K157="","",SUMIF($C$3:$C$1002,$K157,$G$3:$G$1002))</f>
        <v/>
      </c>
      <c r="N157">
        <f>IF($K157="","",COUNTIF($C$3:$C$1002,$K157))</f>
        <v/>
      </c>
      <c r="P157">
        <f>IF($A157="","",$A157*100000+ROW())</f>
        <v/>
      </c>
    </row>
    <row r="158" ht="18" customHeight="1">
      <c r="A158" s="60" t="n"/>
      <c r="B158" s="61">
        <f>IF(A158="","",TEXT(A158,"mmm yyyy"))</f>
        <v/>
      </c>
      <c r="C158" s="62" t="n"/>
      <c r="D158" s="62" t="n"/>
      <c r="E158" s="62" t="n"/>
      <c r="F158" s="62" t="n"/>
      <c r="G158" s="63" t="n"/>
      <c r="H158" s="62" t="n"/>
      <c r="K158">
        <f>IF($C158="","",IF(COUNTIF($C$3:$C158,$C158)=1,$C158,""))</f>
        <v/>
      </c>
      <c r="L158">
        <f>IF($K158="","",$M158+ROW()/10000000)</f>
        <v/>
      </c>
      <c r="M158">
        <f>IF($K158="","",SUMIF($C$3:$C$1002,$K158,$G$3:$G$1002))</f>
        <v/>
      </c>
      <c r="N158">
        <f>IF($K158="","",COUNTIF($C$3:$C$1002,$K158))</f>
        <v/>
      </c>
      <c r="P158">
        <f>IF($A158="","",$A158*100000+ROW())</f>
        <v/>
      </c>
    </row>
    <row r="159" ht="18" customHeight="1">
      <c r="A159" s="60" t="n"/>
      <c r="B159" s="61">
        <f>IF(A159="","",TEXT(A159,"mmm yyyy"))</f>
        <v/>
      </c>
      <c r="C159" s="62" t="n"/>
      <c r="D159" s="62" t="n"/>
      <c r="E159" s="62" t="n"/>
      <c r="F159" s="62" t="n"/>
      <c r="G159" s="63" t="n"/>
      <c r="H159" s="62" t="n"/>
      <c r="K159">
        <f>IF($C159="","",IF(COUNTIF($C$3:$C159,$C159)=1,$C159,""))</f>
        <v/>
      </c>
      <c r="L159">
        <f>IF($K159="","",$M159+ROW()/10000000)</f>
        <v/>
      </c>
      <c r="M159">
        <f>IF($K159="","",SUMIF($C$3:$C$1002,$K159,$G$3:$G$1002))</f>
        <v/>
      </c>
      <c r="N159">
        <f>IF($K159="","",COUNTIF($C$3:$C$1002,$K159))</f>
        <v/>
      </c>
      <c r="P159">
        <f>IF($A159="","",$A159*100000+ROW())</f>
        <v/>
      </c>
    </row>
    <row r="160" ht="18" customHeight="1">
      <c r="A160" s="60" t="n"/>
      <c r="B160" s="61">
        <f>IF(A160="","",TEXT(A160,"mmm yyyy"))</f>
        <v/>
      </c>
      <c r="C160" s="62" t="n"/>
      <c r="D160" s="62" t="n"/>
      <c r="E160" s="62" t="n"/>
      <c r="F160" s="62" t="n"/>
      <c r="G160" s="63" t="n"/>
      <c r="H160" s="62" t="n"/>
      <c r="K160">
        <f>IF($C160="","",IF(COUNTIF($C$3:$C160,$C160)=1,$C160,""))</f>
        <v/>
      </c>
      <c r="L160">
        <f>IF($K160="","",$M160+ROW()/10000000)</f>
        <v/>
      </c>
      <c r="M160">
        <f>IF($K160="","",SUMIF($C$3:$C$1002,$K160,$G$3:$G$1002))</f>
        <v/>
      </c>
      <c r="N160">
        <f>IF($K160="","",COUNTIF($C$3:$C$1002,$K160))</f>
        <v/>
      </c>
      <c r="P160">
        <f>IF($A160="","",$A160*100000+ROW())</f>
        <v/>
      </c>
    </row>
    <row r="161" ht="18" customHeight="1">
      <c r="A161" s="60" t="n"/>
      <c r="B161" s="61">
        <f>IF(A161="","",TEXT(A161,"mmm yyyy"))</f>
        <v/>
      </c>
      <c r="C161" s="62" t="n"/>
      <c r="D161" s="62" t="n"/>
      <c r="E161" s="62" t="n"/>
      <c r="F161" s="62" t="n"/>
      <c r="G161" s="63" t="n"/>
      <c r="H161" s="62" t="n"/>
      <c r="K161">
        <f>IF($C161="","",IF(COUNTIF($C$3:$C161,$C161)=1,$C161,""))</f>
        <v/>
      </c>
      <c r="L161">
        <f>IF($K161="","",$M161+ROW()/10000000)</f>
        <v/>
      </c>
      <c r="M161">
        <f>IF($K161="","",SUMIF($C$3:$C$1002,$K161,$G$3:$G$1002))</f>
        <v/>
      </c>
      <c r="N161">
        <f>IF($K161="","",COUNTIF($C$3:$C$1002,$K161))</f>
        <v/>
      </c>
      <c r="P161">
        <f>IF($A161="","",$A161*100000+ROW())</f>
        <v/>
      </c>
    </row>
    <row r="162" ht="18" customHeight="1">
      <c r="A162" s="60" t="n"/>
      <c r="B162" s="61">
        <f>IF(A162="","",TEXT(A162,"mmm yyyy"))</f>
        <v/>
      </c>
      <c r="C162" s="62" t="n"/>
      <c r="D162" s="62" t="n"/>
      <c r="E162" s="62" t="n"/>
      <c r="F162" s="62" t="n"/>
      <c r="G162" s="63" t="n"/>
      <c r="H162" s="62" t="n"/>
      <c r="K162">
        <f>IF($C162="","",IF(COUNTIF($C$3:$C162,$C162)=1,$C162,""))</f>
        <v/>
      </c>
      <c r="L162">
        <f>IF($K162="","",$M162+ROW()/10000000)</f>
        <v/>
      </c>
      <c r="M162">
        <f>IF($K162="","",SUMIF($C$3:$C$1002,$K162,$G$3:$G$1002))</f>
        <v/>
      </c>
      <c r="N162">
        <f>IF($K162="","",COUNTIF($C$3:$C$1002,$K162))</f>
        <v/>
      </c>
      <c r="P162">
        <f>IF($A162="","",$A162*100000+ROW())</f>
        <v/>
      </c>
    </row>
    <row r="163" ht="18" customHeight="1">
      <c r="A163" s="60" t="n"/>
      <c r="B163" s="61">
        <f>IF(A163="","",TEXT(A163,"mmm yyyy"))</f>
        <v/>
      </c>
      <c r="C163" s="62" t="n"/>
      <c r="D163" s="62" t="n"/>
      <c r="E163" s="62" t="n"/>
      <c r="F163" s="62" t="n"/>
      <c r="G163" s="63" t="n"/>
      <c r="H163" s="62" t="n"/>
      <c r="K163">
        <f>IF($C163="","",IF(COUNTIF($C$3:$C163,$C163)=1,$C163,""))</f>
        <v/>
      </c>
      <c r="L163">
        <f>IF($K163="","",$M163+ROW()/10000000)</f>
        <v/>
      </c>
      <c r="M163">
        <f>IF($K163="","",SUMIF($C$3:$C$1002,$K163,$G$3:$G$1002))</f>
        <v/>
      </c>
      <c r="N163">
        <f>IF($K163="","",COUNTIF($C$3:$C$1002,$K163))</f>
        <v/>
      </c>
      <c r="P163">
        <f>IF($A163="","",$A163*100000+ROW())</f>
        <v/>
      </c>
    </row>
    <row r="164" ht="18" customHeight="1">
      <c r="A164" s="60" t="n"/>
      <c r="B164" s="61">
        <f>IF(A164="","",TEXT(A164,"mmm yyyy"))</f>
        <v/>
      </c>
      <c r="C164" s="62" t="n"/>
      <c r="D164" s="62" t="n"/>
      <c r="E164" s="62" t="n"/>
      <c r="F164" s="62" t="n"/>
      <c r="G164" s="63" t="n"/>
      <c r="H164" s="62" t="n"/>
      <c r="K164">
        <f>IF($C164="","",IF(COUNTIF($C$3:$C164,$C164)=1,$C164,""))</f>
        <v/>
      </c>
      <c r="L164">
        <f>IF($K164="","",$M164+ROW()/10000000)</f>
        <v/>
      </c>
      <c r="M164">
        <f>IF($K164="","",SUMIF($C$3:$C$1002,$K164,$G$3:$G$1002))</f>
        <v/>
      </c>
      <c r="N164">
        <f>IF($K164="","",COUNTIF($C$3:$C$1002,$K164))</f>
        <v/>
      </c>
      <c r="P164">
        <f>IF($A164="","",$A164*100000+ROW())</f>
        <v/>
      </c>
    </row>
    <row r="165" ht="18" customHeight="1">
      <c r="A165" s="60" t="n"/>
      <c r="B165" s="61">
        <f>IF(A165="","",TEXT(A165,"mmm yyyy"))</f>
        <v/>
      </c>
      <c r="C165" s="62" t="n"/>
      <c r="D165" s="62" t="n"/>
      <c r="E165" s="62" t="n"/>
      <c r="F165" s="62" t="n"/>
      <c r="G165" s="63" t="n"/>
      <c r="H165" s="62" t="n"/>
      <c r="K165">
        <f>IF($C165="","",IF(COUNTIF($C$3:$C165,$C165)=1,$C165,""))</f>
        <v/>
      </c>
      <c r="L165">
        <f>IF($K165="","",$M165+ROW()/10000000)</f>
        <v/>
      </c>
      <c r="M165">
        <f>IF($K165="","",SUMIF($C$3:$C$1002,$K165,$G$3:$G$1002))</f>
        <v/>
      </c>
      <c r="N165">
        <f>IF($K165="","",COUNTIF($C$3:$C$1002,$K165))</f>
        <v/>
      </c>
      <c r="P165">
        <f>IF($A165="","",$A165*100000+ROW())</f>
        <v/>
      </c>
    </row>
    <row r="166" ht="18" customHeight="1">
      <c r="A166" s="60" t="n"/>
      <c r="B166" s="61">
        <f>IF(A166="","",TEXT(A166,"mmm yyyy"))</f>
        <v/>
      </c>
      <c r="C166" s="62" t="n"/>
      <c r="D166" s="62" t="n"/>
      <c r="E166" s="62" t="n"/>
      <c r="F166" s="62" t="n"/>
      <c r="G166" s="63" t="n"/>
      <c r="H166" s="62" t="n"/>
      <c r="K166">
        <f>IF($C166="","",IF(COUNTIF($C$3:$C166,$C166)=1,$C166,""))</f>
        <v/>
      </c>
      <c r="L166">
        <f>IF($K166="","",$M166+ROW()/10000000)</f>
        <v/>
      </c>
      <c r="M166">
        <f>IF($K166="","",SUMIF($C$3:$C$1002,$K166,$G$3:$G$1002))</f>
        <v/>
      </c>
      <c r="N166">
        <f>IF($K166="","",COUNTIF($C$3:$C$1002,$K166))</f>
        <v/>
      </c>
      <c r="P166">
        <f>IF($A166="","",$A166*100000+ROW())</f>
        <v/>
      </c>
    </row>
    <row r="167" ht="18" customHeight="1">
      <c r="A167" s="60" t="n"/>
      <c r="B167" s="61">
        <f>IF(A167="","",TEXT(A167,"mmm yyyy"))</f>
        <v/>
      </c>
      <c r="C167" s="62" t="n"/>
      <c r="D167" s="62" t="n"/>
      <c r="E167" s="62" t="n"/>
      <c r="F167" s="62" t="n"/>
      <c r="G167" s="63" t="n"/>
      <c r="H167" s="62" t="n"/>
      <c r="K167">
        <f>IF($C167="","",IF(COUNTIF($C$3:$C167,$C167)=1,$C167,""))</f>
        <v/>
      </c>
      <c r="L167">
        <f>IF($K167="","",$M167+ROW()/10000000)</f>
        <v/>
      </c>
      <c r="M167">
        <f>IF($K167="","",SUMIF($C$3:$C$1002,$K167,$G$3:$G$1002))</f>
        <v/>
      </c>
      <c r="N167">
        <f>IF($K167="","",COUNTIF($C$3:$C$1002,$K167))</f>
        <v/>
      </c>
      <c r="P167">
        <f>IF($A167="","",$A167*100000+ROW())</f>
        <v/>
      </c>
    </row>
    <row r="168" ht="18" customHeight="1">
      <c r="A168" s="60" t="n"/>
      <c r="B168" s="61">
        <f>IF(A168="","",TEXT(A168,"mmm yyyy"))</f>
        <v/>
      </c>
      <c r="C168" s="62" t="n"/>
      <c r="D168" s="62" t="n"/>
      <c r="E168" s="62" t="n"/>
      <c r="F168" s="62" t="n"/>
      <c r="G168" s="63" t="n"/>
      <c r="H168" s="62" t="n"/>
      <c r="K168">
        <f>IF($C168="","",IF(COUNTIF($C$3:$C168,$C168)=1,$C168,""))</f>
        <v/>
      </c>
      <c r="L168">
        <f>IF($K168="","",$M168+ROW()/10000000)</f>
        <v/>
      </c>
      <c r="M168">
        <f>IF($K168="","",SUMIF($C$3:$C$1002,$K168,$G$3:$G$1002))</f>
        <v/>
      </c>
      <c r="N168">
        <f>IF($K168="","",COUNTIF($C$3:$C$1002,$K168))</f>
        <v/>
      </c>
      <c r="P168">
        <f>IF($A168="","",$A168*100000+ROW())</f>
        <v/>
      </c>
    </row>
    <row r="169" ht="18" customHeight="1">
      <c r="A169" s="60" t="n"/>
      <c r="B169" s="61">
        <f>IF(A169="","",TEXT(A169,"mmm yyyy"))</f>
        <v/>
      </c>
      <c r="C169" s="62" t="n"/>
      <c r="D169" s="62" t="n"/>
      <c r="E169" s="62" t="n"/>
      <c r="F169" s="62" t="n"/>
      <c r="G169" s="63" t="n"/>
      <c r="H169" s="62" t="n"/>
      <c r="K169">
        <f>IF($C169="","",IF(COUNTIF($C$3:$C169,$C169)=1,$C169,""))</f>
        <v/>
      </c>
      <c r="L169">
        <f>IF($K169="","",$M169+ROW()/10000000)</f>
        <v/>
      </c>
      <c r="M169">
        <f>IF($K169="","",SUMIF($C$3:$C$1002,$K169,$G$3:$G$1002))</f>
        <v/>
      </c>
      <c r="N169">
        <f>IF($K169="","",COUNTIF($C$3:$C$1002,$K169))</f>
        <v/>
      </c>
      <c r="P169">
        <f>IF($A169="","",$A169*100000+ROW())</f>
        <v/>
      </c>
    </row>
    <row r="170" ht="18" customHeight="1">
      <c r="A170" s="60" t="n"/>
      <c r="B170" s="61">
        <f>IF(A170="","",TEXT(A170,"mmm yyyy"))</f>
        <v/>
      </c>
      <c r="C170" s="62" t="n"/>
      <c r="D170" s="62" t="n"/>
      <c r="E170" s="62" t="n"/>
      <c r="F170" s="62" t="n"/>
      <c r="G170" s="63" t="n"/>
      <c r="H170" s="62" t="n"/>
      <c r="K170">
        <f>IF($C170="","",IF(COUNTIF($C$3:$C170,$C170)=1,$C170,""))</f>
        <v/>
      </c>
      <c r="L170">
        <f>IF($K170="","",$M170+ROW()/10000000)</f>
        <v/>
      </c>
      <c r="M170">
        <f>IF($K170="","",SUMIF($C$3:$C$1002,$K170,$G$3:$G$1002))</f>
        <v/>
      </c>
      <c r="N170">
        <f>IF($K170="","",COUNTIF($C$3:$C$1002,$K170))</f>
        <v/>
      </c>
      <c r="P170">
        <f>IF($A170="","",$A170*100000+ROW())</f>
        <v/>
      </c>
    </row>
    <row r="171" ht="18" customHeight="1">
      <c r="A171" s="60" t="n"/>
      <c r="B171" s="61">
        <f>IF(A171="","",TEXT(A171,"mmm yyyy"))</f>
        <v/>
      </c>
      <c r="C171" s="62" t="n"/>
      <c r="D171" s="62" t="n"/>
      <c r="E171" s="62" t="n"/>
      <c r="F171" s="62" t="n"/>
      <c r="G171" s="63" t="n"/>
      <c r="H171" s="62" t="n"/>
      <c r="K171">
        <f>IF($C171="","",IF(COUNTIF($C$3:$C171,$C171)=1,$C171,""))</f>
        <v/>
      </c>
      <c r="L171">
        <f>IF($K171="","",$M171+ROW()/10000000)</f>
        <v/>
      </c>
      <c r="M171">
        <f>IF($K171="","",SUMIF($C$3:$C$1002,$K171,$G$3:$G$1002))</f>
        <v/>
      </c>
      <c r="N171">
        <f>IF($K171="","",COUNTIF($C$3:$C$1002,$K171))</f>
        <v/>
      </c>
      <c r="P171">
        <f>IF($A171="","",$A171*100000+ROW())</f>
        <v/>
      </c>
    </row>
    <row r="172" ht="18" customHeight="1">
      <c r="A172" s="60" t="n"/>
      <c r="B172" s="61">
        <f>IF(A172="","",TEXT(A172,"mmm yyyy"))</f>
        <v/>
      </c>
      <c r="C172" s="62" t="n"/>
      <c r="D172" s="62" t="n"/>
      <c r="E172" s="62" t="n"/>
      <c r="F172" s="62" t="n"/>
      <c r="G172" s="63" t="n"/>
      <c r="H172" s="62" t="n"/>
      <c r="K172">
        <f>IF($C172="","",IF(COUNTIF($C$3:$C172,$C172)=1,$C172,""))</f>
        <v/>
      </c>
      <c r="L172">
        <f>IF($K172="","",$M172+ROW()/10000000)</f>
        <v/>
      </c>
      <c r="M172">
        <f>IF($K172="","",SUMIF($C$3:$C$1002,$K172,$G$3:$G$1002))</f>
        <v/>
      </c>
      <c r="N172">
        <f>IF($K172="","",COUNTIF($C$3:$C$1002,$K172))</f>
        <v/>
      </c>
      <c r="P172">
        <f>IF($A172="","",$A172*100000+ROW())</f>
        <v/>
      </c>
    </row>
    <row r="173" ht="18" customHeight="1">
      <c r="A173" s="60" t="n"/>
      <c r="B173" s="61">
        <f>IF(A173="","",TEXT(A173,"mmm yyyy"))</f>
        <v/>
      </c>
      <c r="C173" s="62" t="n"/>
      <c r="D173" s="62" t="n"/>
      <c r="E173" s="62" t="n"/>
      <c r="F173" s="62" t="n"/>
      <c r="G173" s="63" t="n"/>
      <c r="H173" s="62" t="n"/>
      <c r="K173">
        <f>IF($C173="","",IF(COUNTIF($C$3:$C173,$C173)=1,$C173,""))</f>
        <v/>
      </c>
      <c r="L173">
        <f>IF($K173="","",$M173+ROW()/10000000)</f>
        <v/>
      </c>
      <c r="M173">
        <f>IF($K173="","",SUMIF($C$3:$C$1002,$K173,$G$3:$G$1002))</f>
        <v/>
      </c>
      <c r="N173">
        <f>IF($K173="","",COUNTIF($C$3:$C$1002,$K173))</f>
        <v/>
      </c>
      <c r="P173">
        <f>IF($A173="","",$A173*100000+ROW())</f>
        <v/>
      </c>
    </row>
    <row r="174" ht="18" customHeight="1">
      <c r="A174" s="60" t="n"/>
      <c r="B174" s="61">
        <f>IF(A174="","",TEXT(A174,"mmm yyyy"))</f>
        <v/>
      </c>
      <c r="C174" s="62" t="n"/>
      <c r="D174" s="62" t="n"/>
      <c r="E174" s="62" t="n"/>
      <c r="F174" s="62" t="n"/>
      <c r="G174" s="63" t="n"/>
      <c r="H174" s="62" t="n"/>
      <c r="K174">
        <f>IF($C174="","",IF(COUNTIF($C$3:$C174,$C174)=1,$C174,""))</f>
        <v/>
      </c>
      <c r="L174">
        <f>IF($K174="","",$M174+ROW()/10000000)</f>
        <v/>
      </c>
      <c r="M174">
        <f>IF($K174="","",SUMIF($C$3:$C$1002,$K174,$G$3:$G$1002))</f>
        <v/>
      </c>
      <c r="N174">
        <f>IF($K174="","",COUNTIF($C$3:$C$1002,$K174))</f>
        <v/>
      </c>
      <c r="P174">
        <f>IF($A174="","",$A174*100000+ROW())</f>
        <v/>
      </c>
    </row>
    <row r="175" ht="18" customHeight="1">
      <c r="A175" s="60" t="n"/>
      <c r="B175" s="61">
        <f>IF(A175="","",TEXT(A175,"mmm yyyy"))</f>
        <v/>
      </c>
      <c r="C175" s="62" t="n"/>
      <c r="D175" s="62" t="n"/>
      <c r="E175" s="62" t="n"/>
      <c r="F175" s="62" t="n"/>
      <c r="G175" s="63" t="n"/>
      <c r="H175" s="62" t="n"/>
      <c r="K175">
        <f>IF($C175="","",IF(COUNTIF($C$3:$C175,$C175)=1,$C175,""))</f>
        <v/>
      </c>
      <c r="L175">
        <f>IF($K175="","",$M175+ROW()/10000000)</f>
        <v/>
      </c>
      <c r="M175">
        <f>IF($K175="","",SUMIF($C$3:$C$1002,$K175,$G$3:$G$1002))</f>
        <v/>
      </c>
      <c r="N175">
        <f>IF($K175="","",COUNTIF($C$3:$C$1002,$K175))</f>
        <v/>
      </c>
      <c r="P175">
        <f>IF($A175="","",$A175*100000+ROW())</f>
        <v/>
      </c>
    </row>
    <row r="176" ht="18" customHeight="1">
      <c r="A176" s="60" t="n"/>
      <c r="B176" s="61">
        <f>IF(A176="","",TEXT(A176,"mmm yyyy"))</f>
        <v/>
      </c>
      <c r="C176" s="62" t="n"/>
      <c r="D176" s="62" t="n"/>
      <c r="E176" s="62" t="n"/>
      <c r="F176" s="62" t="n"/>
      <c r="G176" s="63" t="n"/>
      <c r="H176" s="62" t="n"/>
      <c r="K176">
        <f>IF($C176="","",IF(COUNTIF($C$3:$C176,$C176)=1,$C176,""))</f>
        <v/>
      </c>
      <c r="L176">
        <f>IF($K176="","",$M176+ROW()/10000000)</f>
        <v/>
      </c>
      <c r="M176">
        <f>IF($K176="","",SUMIF($C$3:$C$1002,$K176,$G$3:$G$1002))</f>
        <v/>
      </c>
      <c r="N176">
        <f>IF($K176="","",COUNTIF($C$3:$C$1002,$K176))</f>
        <v/>
      </c>
      <c r="P176">
        <f>IF($A176="","",$A176*100000+ROW())</f>
        <v/>
      </c>
    </row>
    <row r="177" ht="18" customHeight="1">
      <c r="A177" s="60" t="n"/>
      <c r="B177" s="61">
        <f>IF(A177="","",TEXT(A177,"mmm yyyy"))</f>
        <v/>
      </c>
      <c r="C177" s="62" t="n"/>
      <c r="D177" s="62" t="n"/>
      <c r="E177" s="62" t="n"/>
      <c r="F177" s="62" t="n"/>
      <c r="G177" s="63" t="n"/>
      <c r="H177" s="62" t="n"/>
      <c r="K177">
        <f>IF($C177="","",IF(COUNTIF($C$3:$C177,$C177)=1,$C177,""))</f>
        <v/>
      </c>
      <c r="L177">
        <f>IF($K177="","",$M177+ROW()/10000000)</f>
        <v/>
      </c>
      <c r="M177">
        <f>IF($K177="","",SUMIF($C$3:$C$1002,$K177,$G$3:$G$1002))</f>
        <v/>
      </c>
      <c r="N177">
        <f>IF($K177="","",COUNTIF($C$3:$C$1002,$K177))</f>
        <v/>
      </c>
      <c r="P177">
        <f>IF($A177="","",$A177*100000+ROW())</f>
        <v/>
      </c>
    </row>
    <row r="178" ht="18" customHeight="1">
      <c r="A178" s="60" t="n"/>
      <c r="B178" s="61">
        <f>IF(A178="","",TEXT(A178,"mmm yyyy"))</f>
        <v/>
      </c>
      <c r="C178" s="62" t="n"/>
      <c r="D178" s="62" t="n"/>
      <c r="E178" s="62" t="n"/>
      <c r="F178" s="62" t="n"/>
      <c r="G178" s="63" t="n"/>
      <c r="H178" s="62" t="n"/>
      <c r="K178">
        <f>IF($C178="","",IF(COUNTIF($C$3:$C178,$C178)=1,$C178,""))</f>
        <v/>
      </c>
      <c r="L178">
        <f>IF($K178="","",$M178+ROW()/10000000)</f>
        <v/>
      </c>
      <c r="M178">
        <f>IF($K178="","",SUMIF($C$3:$C$1002,$K178,$G$3:$G$1002))</f>
        <v/>
      </c>
      <c r="N178">
        <f>IF($K178="","",COUNTIF($C$3:$C$1002,$K178))</f>
        <v/>
      </c>
      <c r="P178">
        <f>IF($A178="","",$A178*100000+ROW())</f>
        <v/>
      </c>
    </row>
    <row r="179" ht="18" customHeight="1">
      <c r="A179" s="60" t="n"/>
      <c r="B179" s="61">
        <f>IF(A179="","",TEXT(A179,"mmm yyyy"))</f>
        <v/>
      </c>
      <c r="C179" s="62" t="n"/>
      <c r="D179" s="62" t="n"/>
      <c r="E179" s="62" t="n"/>
      <c r="F179" s="62" t="n"/>
      <c r="G179" s="63" t="n"/>
      <c r="H179" s="62" t="n"/>
      <c r="K179">
        <f>IF($C179="","",IF(COUNTIF($C$3:$C179,$C179)=1,$C179,""))</f>
        <v/>
      </c>
      <c r="L179">
        <f>IF($K179="","",$M179+ROW()/10000000)</f>
        <v/>
      </c>
      <c r="M179">
        <f>IF($K179="","",SUMIF($C$3:$C$1002,$K179,$G$3:$G$1002))</f>
        <v/>
      </c>
      <c r="N179">
        <f>IF($K179="","",COUNTIF($C$3:$C$1002,$K179))</f>
        <v/>
      </c>
      <c r="P179">
        <f>IF($A179="","",$A179*100000+ROW())</f>
        <v/>
      </c>
    </row>
    <row r="180" ht="18" customHeight="1">
      <c r="A180" s="60" t="n"/>
      <c r="B180" s="61">
        <f>IF(A180="","",TEXT(A180,"mmm yyyy"))</f>
        <v/>
      </c>
      <c r="C180" s="62" t="n"/>
      <c r="D180" s="62" t="n"/>
      <c r="E180" s="62" t="n"/>
      <c r="F180" s="62" t="n"/>
      <c r="G180" s="63" t="n"/>
      <c r="H180" s="62" t="n"/>
      <c r="K180">
        <f>IF($C180="","",IF(COUNTIF($C$3:$C180,$C180)=1,$C180,""))</f>
        <v/>
      </c>
      <c r="L180">
        <f>IF($K180="","",$M180+ROW()/10000000)</f>
        <v/>
      </c>
      <c r="M180">
        <f>IF($K180="","",SUMIF($C$3:$C$1002,$K180,$G$3:$G$1002))</f>
        <v/>
      </c>
      <c r="N180">
        <f>IF($K180="","",COUNTIF($C$3:$C$1002,$K180))</f>
        <v/>
      </c>
      <c r="P180">
        <f>IF($A180="","",$A180*100000+ROW())</f>
        <v/>
      </c>
    </row>
    <row r="181" ht="18" customHeight="1">
      <c r="A181" s="60" t="n"/>
      <c r="B181" s="61">
        <f>IF(A181="","",TEXT(A181,"mmm yyyy"))</f>
        <v/>
      </c>
      <c r="C181" s="62" t="n"/>
      <c r="D181" s="62" t="n"/>
      <c r="E181" s="62" t="n"/>
      <c r="F181" s="62" t="n"/>
      <c r="G181" s="63" t="n"/>
      <c r="H181" s="62" t="n"/>
      <c r="K181">
        <f>IF($C181="","",IF(COUNTIF($C$3:$C181,$C181)=1,$C181,""))</f>
        <v/>
      </c>
      <c r="L181">
        <f>IF($K181="","",$M181+ROW()/10000000)</f>
        <v/>
      </c>
      <c r="M181">
        <f>IF($K181="","",SUMIF($C$3:$C$1002,$K181,$G$3:$G$1002))</f>
        <v/>
      </c>
      <c r="N181">
        <f>IF($K181="","",COUNTIF($C$3:$C$1002,$K181))</f>
        <v/>
      </c>
      <c r="P181">
        <f>IF($A181="","",$A181*100000+ROW())</f>
        <v/>
      </c>
    </row>
    <row r="182" ht="18" customHeight="1">
      <c r="A182" s="60" t="n"/>
      <c r="B182" s="61">
        <f>IF(A182="","",TEXT(A182,"mmm yyyy"))</f>
        <v/>
      </c>
      <c r="C182" s="62" t="n"/>
      <c r="D182" s="62" t="n"/>
      <c r="E182" s="62" t="n"/>
      <c r="F182" s="62" t="n"/>
      <c r="G182" s="63" t="n"/>
      <c r="H182" s="62" t="n"/>
      <c r="K182">
        <f>IF($C182="","",IF(COUNTIF($C$3:$C182,$C182)=1,$C182,""))</f>
        <v/>
      </c>
      <c r="L182">
        <f>IF($K182="","",$M182+ROW()/10000000)</f>
        <v/>
      </c>
      <c r="M182">
        <f>IF($K182="","",SUMIF($C$3:$C$1002,$K182,$G$3:$G$1002))</f>
        <v/>
      </c>
      <c r="N182">
        <f>IF($K182="","",COUNTIF($C$3:$C$1002,$K182))</f>
        <v/>
      </c>
      <c r="P182">
        <f>IF($A182="","",$A182*100000+ROW())</f>
        <v/>
      </c>
    </row>
    <row r="183" ht="18" customHeight="1">
      <c r="A183" s="60" t="n"/>
      <c r="B183" s="61">
        <f>IF(A183="","",TEXT(A183,"mmm yyyy"))</f>
        <v/>
      </c>
      <c r="C183" s="62" t="n"/>
      <c r="D183" s="62" t="n"/>
      <c r="E183" s="62" t="n"/>
      <c r="F183" s="62" t="n"/>
      <c r="G183" s="63" t="n"/>
      <c r="H183" s="62" t="n"/>
      <c r="K183">
        <f>IF($C183="","",IF(COUNTIF($C$3:$C183,$C183)=1,$C183,""))</f>
        <v/>
      </c>
      <c r="L183">
        <f>IF($K183="","",$M183+ROW()/10000000)</f>
        <v/>
      </c>
      <c r="M183">
        <f>IF($K183="","",SUMIF($C$3:$C$1002,$K183,$G$3:$G$1002))</f>
        <v/>
      </c>
      <c r="N183">
        <f>IF($K183="","",COUNTIF($C$3:$C$1002,$K183))</f>
        <v/>
      </c>
      <c r="P183">
        <f>IF($A183="","",$A183*100000+ROW())</f>
        <v/>
      </c>
    </row>
    <row r="184" ht="18" customHeight="1">
      <c r="A184" s="60" t="n"/>
      <c r="B184" s="61">
        <f>IF(A184="","",TEXT(A184,"mmm yyyy"))</f>
        <v/>
      </c>
      <c r="C184" s="62" t="n"/>
      <c r="D184" s="62" t="n"/>
      <c r="E184" s="62" t="n"/>
      <c r="F184" s="62" t="n"/>
      <c r="G184" s="63" t="n"/>
      <c r="H184" s="62" t="n"/>
      <c r="K184">
        <f>IF($C184="","",IF(COUNTIF($C$3:$C184,$C184)=1,$C184,""))</f>
        <v/>
      </c>
      <c r="L184">
        <f>IF($K184="","",$M184+ROW()/10000000)</f>
        <v/>
      </c>
      <c r="M184">
        <f>IF($K184="","",SUMIF($C$3:$C$1002,$K184,$G$3:$G$1002))</f>
        <v/>
      </c>
      <c r="N184">
        <f>IF($K184="","",COUNTIF($C$3:$C$1002,$K184))</f>
        <v/>
      </c>
      <c r="P184">
        <f>IF($A184="","",$A184*100000+ROW())</f>
        <v/>
      </c>
    </row>
    <row r="185" ht="18" customHeight="1">
      <c r="A185" s="60" t="n"/>
      <c r="B185" s="61">
        <f>IF(A185="","",TEXT(A185,"mmm yyyy"))</f>
        <v/>
      </c>
      <c r="C185" s="62" t="n"/>
      <c r="D185" s="62" t="n"/>
      <c r="E185" s="62" t="n"/>
      <c r="F185" s="62" t="n"/>
      <c r="G185" s="63" t="n"/>
      <c r="H185" s="62" t="n"/>
      <c r="K185">
        <f>IF($C185="","",IF(COUNTIF($C$3:$C185,$C185)=1,$C185,""))</f>
        <v/>
      </c>
      <c r="L185">
        <f>IF($K185="","",$M185+ROW()/10000000)</f>
        <v/>
      </c>
      <c r="M185">
        <f>IF($K185="","",SUMIF($C$3:$C$1002,$K185,$G$3:$G$1002))</f>
        <v/>
      </c>
      <c r="N185">
        <f>IF($K185="","",COUNTIF($C$3:$C$1002,$K185))</f>
        <v/>
      </c>
      <c r="P185">
        <f>IF($A185="","",$A185*100000+ROW())</f>
        <v/>
      </c>
    </row>
    <row r="186" ht="18" customHeight="1">
      <c r="A186" s="60" t="n"/>
      <c r="B186" s="61">
        <f>IF(A186="","",TEXT(A186,"mmm yyyy"))</f>
        <v/>
      </c>
      <c r="C186" s="62" t="n"/>
      <c r="D186" s="62" t="n"/>
      <c r="E186" s="62" t="n"/>
      <c r="F186" s="62" t="n"/>
      <c r="G186" s="63" t="n"/>
      <c r="H186" s="62" t="n"/>
      <c r="K186">
        <f>IF($C186="","",IF(COUNTIF($C$3:$C186,$C186)=1,$C186,""))</f>
        <v/>
      </c>
      <c r="L186">
        <f>IF($K186="","",$M186+ROW()/10000000)</f>
        <v/>
      </c>
      <c r="M186">
        <f>IF($K186="","",SUMIF($C$3:$C$1002,$K186,$G$3:$G$1002))</f>
        <v/>
      </c>
      <c r="N186">
        <f>IF($K186="","",COUNTIF($C$3:$C$1002,$K186))</f>
        <v/>
      </c>
      <c r="P186">
        <f>IF($A186="","",$A186*100000+ROW())</f>
        <v/>
      </c>
    </row>
    <row r="187" ht="18" customHeight="1">
      <c r="A187" s="60" t="n"/>
      <c r="B187" s="61">
        <f>IF(A187="","",TEXT(A187,"mmm yyyy"))</f>
        <v/>
      </c>
      <c r="C187" s="62" t="n"/>
      <c r="D187" s="62" t="n"/>
      <c r="E187" s="62" t="n"/>
      <c r="F187" s="62" t="n"/>
      <c r="G187" s="63" t="n"/>
      <c r="H187" s="62" t="n"/>
      <c r="K187">
        <f>IF($C187="","",IF(COUNTIF($C$3:$C187,$C187)=1,$C187,""))</f>
        <v/>
      </c>
      <c r="L187">
        <f>IF($K187="","",$M187+ROW()/10000000)</f>
        <v/>
      </c>
      <c r="M187">
        <f>IF($K187="","",SUMIF($C$3:$C$1002,$K187,$G$3:$G$1002))</f>
        <v/>
      </c>
      <c r="N187">
        <f>IF($K187="","",COUNTIF($C$3:$C$1002,$K187))</f>
        <v/>
      </c>
      <c r="P187">
        <f>IF($A187="","",$A187*100000+ROW())</f>
        <v/>
      </c>
    </row>
    <row r="188" ht="18" customHeight="1">
      <c r="A188" s="60" t="n"/>
      <c r="B188" s="61">
        <f>IF(A188="","",TEXT(A188,"mmm yyyy"))</f>
        <v/>
      </c>
      <c r="C188" s="62" t="n"/>
      <c r="D188" s="62" t="n"/>
      <c r="E188" s="62" t="n"/>
      <c r="F188" s="62" t="n"/>
      <c r="G188" s="63" t="n"/>
      <c r="H188" s="62" t="n"/>
      <c r="K188">
        <f>IF($C188="","",IF(COUNTIF($C$3:$C188,$C188)=1,$C188,""))</f>
        <v/>
      </c>
      <c r="L188">
        <f>IF($K188="","",$M188+ROW()/10000000)</f>
        <v/>
      </c>
      <c r="M188">
        <f>IF($K188="","",SUMIF($C$3:$C$1002,$K188,$G$3:$G$1002))</f>
        <v/>
      </c>
      <c r="N188">
        <f>IF($K188="","",COUNTIF($C$3:$C$1002,$K188))</f>
        <v/>
      </c>
      <c r="P188">
        <f>IF($A188="","",$A188*100000+ROW())</f>
        <v/>
      </c>
    </row>
    <row r="189" ht="18" customHeight="1">
      <c r="A189" s="60" t="n"/>
      <c r="B189" s="61">
        <f>IF(A189="","",TEXT(A189,"mmm yyyy"))</f>
        <v/>
      </c>
      <c r="C189" s="62" t="n"/>
      <c r="D189" s="62" t="n"/>
      <c r="E189" s="62" t="n"/>
      <c r="F189" s="62" t="n"/>
      <c r="G189" s="63" t="n"/>
      <c r="H189" s="62" t="n"/>
      <c r="K189">
        <f>IF($C189="","",IF(COUNTIF($C$3:$C189,$C189)=1,$C189,""))</f>
        <v/>
      </c>
      <c r="L189">
        <f>IF($K189="","",$M189+ROW()/10000000)</f>
        <v/>
      </c>
      <c r="M189">
        <f>IF($K189="","",SUMIF($C$3:$C$1002,$K189,$G$3:$G$1002))</f>
        <v/>
      </c>
      <c r="N189">
        <f>IF($K189="","",COUNTIF($C$3:$C$1002,$K189))</f>
        <v/>
      </c>
      <c r="P189">
        <f>IF($A189="","",$A189*100000+ROW())</f>
        <v/>
      </c>
    </row>
    <row r="190" ht="18" customHeight="1">
      <c r="A190" s="60" t="n"/>
      <c r="B190" s="61">
        <f>IF(A190="","",TEXT(A190,"mmm yyyy"))</f>
        <v/>
      </c>
      <c r="C190" s="62" t="n"/>
      <c r="D190" s="62" t="n"/>
      <c r="E190" s="62" t="n"/>
      <c r="F190" s="62" t="n"/>
      <c r="G190" s="63" t="n"/>
      <c r="H190" s="62" t="n"/>
      <c r="K190">
        <f>IF($C190="","",IF(COUNTIF($C$3:$C190,$C190)=1,$C190,""))</f>
        <v/>
      </c>
      <c r="L190">
        <f>IF($K190="","",$M190+ROW()/10000000)</f>
        <v/>
      </c>
      <c r="M190">
        <f>IF($K190="","",SUMIF($C$3:$C$1002,$K190,$G$3:$G$1002))</f>
        <v/>
      </c>
      <c r="N190">
        <f>IF($K190="","",COUNTIF($C$3:$C$1002,$K190))</f>
        <v/>
      </c>
      <c r="P190">
        <f>IF($A190="","",$A190*100000+ROW())</f>
        <v/>
      </c>
    </row>
    <row r="191" ht="18" customHeight="1">
      <c r="A191" s="60" t="n"/>
      <c r="B191" s="61">
        <f>IF(A191="","",TEXT(A191,"mmm yyyy"))</f>
        <v/>
      </c>
      <c r="C191" s="62" t="n"/>
      <c r="D191" s="62" t="n"/>
      <c r="E191" s="62" t="n"/>
      <c r="F191" s="62" t="n"/>
      <c r="G191" s="63" t="n"/>
      <c r="H191" s="62" t="n"/>
      <c r="K191">
        <f>IF($C191="","",IF(COUNTIF($C$3:$C191,$C191)=1,$C191,""))</f>
        <v/>
      </c>
      <c r="L191">
        <f>IF($K191="","",$M191+ROW()/10000000)</f>
        <v/>
      </c>
      <c r="M191">
        <f>IF($K191="","",SUMIF($C$3:$C$1002,$K191,$G$3:$G$1002))</f>
        <v/>
      </c>
      <c r="N191">
        <f>IF($K191="","",COUNTIF($C$3:$C$1002,$K191))</f>
        <v/>
      </c>
      <c r="P191">
        <f>IF($A191="","",$A191*100000+ROW())</f>
        <v/>
      </c>
    </row>
    <row r="192" ht="18" customHeight="1">
      <c r="A192" s="60" t="n"/>
      <c r="B192" s="61">
        <f>IF(A192="","",TEXT(A192,"mmm yyyy"))</f>
        <v/>
      </c>
      <c r="C192" s="62" t="n"/>
      <c r="D192" s="62" t="n"/>
      <c r="E192" s="62" t="n"/>
      <c r="F192" s="62" t="n"/>
      <c r="G192" s="63" t="n"/>
      <c r="H192" s="62" t="n"/>
      <c r="K192">
        <f>IF($C192="","",IF(COUNTIF($C$3:$C192,$C192)=1,$C192,""))</f>
        <v/>
      </c>
      <c r="L192">
        <f>IF($K192="","",$M192+ROW()/10000000)</f>
        <v/>
      </c>
      <c r="M192">
        <f>IF($K192="","",SUMIF($C$3:$C$1002,$K192,$G$3:$G$1002))</f>
        <v/>
      </c>
      <c r="N192">
        <f>IF($K192="","",COUNTIF($C$3:$C$1002,$K192))</f>
        <v/>
      </c>
      <c r="P192">
        <f>IF($A192="","",$A192*100000+ROW())</f>
        <v/>
      </c>
    </row>
    <row r="193" ht="18" customHeight="1">
      <c r="A193" s="60" t="n"/>
      <c r="B193" s="61">
        <f>IF(A193="","",TEXT(A193,"mmm yyyy"))</f>
        <v/>
      </c>
      <c r="C193" s="62" t="n"/>
      <c r="D193" s="62" t="n"/>
      <c r="E193" s="62" t="n"/>
      <c r="F193" s="62" t="n"/>
      <c r="G193" s="63" t="n"/>
      <c r="H193" s="62" t="n"/>
      <c r="K193">
        <f>IF($C193="","",IF(COUNTIF($C$3:$C193,$C193)=1,$C193,""))</f>
        <v/>
      </c>
      <c r="L193">
        <f>IF($K193="","",$M193+ROW()/10000000)</f>
        <v/>
      </c>
      <c r="M193">
        <f>IF($K193="","",SUMIF($C$3:$C$1002,$K193,$G$3:$G$1002))</f>
        <v/>
      </c>
      <c r="N193">
        <f>IF($K193="","",COUNTIF($C$3:$C$1002,$K193))</f>
        <v/>
      </c>
      <c r="P193">
        <f>IF($A193="","",$A193*100000+ROW())</f>
        <v/>
      </c>
    </row>
    <row r="194" ht="18" customHeight="1">
      <c r="A194" s="60" t="n"/>
      <c r="B194" s="61">
        <f>IF(A194="","",TEXT(A194,"mmm yyyy"))</f>
        <v/>
      </c>
      <c r="C194" s="62" t="n"/>
      <c r="D194" s="62" t="n"/>
      <c r="E194" s="62" t="n"/>
      <c r="F194" s="62" t="n"/>
      <c r="G194" s="63" t="n"/>
      <c r="H194" s="62" t="n"/>
      <c r="K194">
        <f>IF($C194="","",IF(COUNTIF($C$3:$C194,$C194)=1,$C194,""))</f>
        <v/>
      </c>
      <c r="L194">
        <f>IF($K194="","",$M194+ROW()/10000000)</f>
        <v/>
      </c>
      <c r="M194">
        <f>IF($K194="","",SUMIF($C$3:$C$1002,$K194,$G$3:$G$1002))</f>
        <v/>
      </c>
      <c r="N194">
        <f>IF($K194="","",COUNTIF($C$3:$C$1002,$K194))</f>
        <v/>
      </c>
      <c r="P194">
        <f>IF($A194="","",$A194*100000+ROW())</f>
        <v/>
      </c>
    </row>
    <row r="195" ht="18" customHeight="1">
      <c r="A195" s="60" t="n"/>
      <c r="B195" s="61">
        <f>IF(A195="","",TEXT(A195,"mmm yyyy"))</f>
        <v/>
      </c>
      <c r="C195" s="62" t="n"/>
      <c r="D195" s="62" t="n"/>
      <c r="E195" s="62" t="n"/>
      <c r="F195" s="62" t="n"/>
      <c r="G195" s="63" t="n"/>
      <c r="H195" s="62" t="n"/>
      <c r="K195">
        <f>IF($C195="","",IF(COUNTIF($C$3:$C195,$C195)=1,$C195,""))</f>
        <v/>
      </c>
      <c r="L195">
        <f>IF($K195="","",$M195+ROW()/10000000)</f>
        <v/>
      </c>
      <c r="M195">
        <f>IF($K195="","",SUMIF($C$3:$C$1002,$K195,$G$3:$G$1002))</f>
        <v/>
      </c>
      <c r="N195">
        <f>IF($K195="","",COUNTIF($C$3:$C$1002,$K195))</f>
        <v/>
      </c>
      <c r="P195">
        <f>IF($A195="","",$A195*100000+ROW())</f>
        <v/>
      </c>
    </row>
    <row r="196" ht="18" customHeight="1">
      <c r="A196" s="60" t="n"/>
      <c r="B196" s="61">
        <f>IF(A196="","",TEXT(A196,"mmm yyyy"))</f>
        <v/>
      </c>
      <c r="C196" s="62" t="n"/>
      <c r="D196" s="62" t="n"/>
      <c r="E196" s="62" t="n"/>
      <c r="F196" s="62" t="n"/>
      <c r="G196" s="63" t="n"/>
      <c r="H196" s="62" t="n"/>
      <c r="K196">
        <f>IF($C196="","",IF(COUNTIF($C$3:$C196,$C196)=1,$C196,""))</f>
        <v/>
      </c>
      <c r="L196">
        <f>IF($K196="","",$M196+ROW()/10000000)</f>
        <v/>
      </c>
      <c r="M196">
        <f>IF($K196="","",SUMIF($C$3:$C$1002,$K196,$G$3:$G$1002))</f>
        <v/>
      </c>
      <c r="N196">
        <f>IF($K196="","",COUNTIF($C$3:$C$1002,$K196))</f>
        <v/>
      </c>
      <c r="P196">
        <f>IF($A196="","",$A196*100000+ROW())</f>
        <v/>
      </c>
    </row>
    <row r="197" ht="18" customHeight="1">
      <c r="A197" s="60" t="n"/>
      <c r="B197" s="61">
        <f>IF(A197="","",TEXT(A197,"mmm yyyy"))</f>
        <v/>
      </c>
      <c r="C197" s="62" t="n"/>
      <c r="D197" s="62" t="n"/>
      <c r="E197" s="62" t="n"/>
      <c r="F197" s="62" t="n"/>
      <c r="G197" s="63" t="n"/>
      <c r="H197" s="62" t="n"/>
      <c r="K197">
        <f>IF($C197="","",IF(COUNTIF($C$3:$C197,$C197)=1,$C197,""))</f>
        <v/>
      </c>
      <c r="L197">
        <f>IF($K197="","",$M197+ROW()/10000000)</f>
        <v/>
      </c>
      <c r="M197">
        <f>IF($K197="","",SUMIF($C$3:$C$1002,$K197,$G$3:$G$1002))</f>
        <v/>
      </c>
      <c r="N197">
        <f>IF($K197="","",COUNTIF($C$3:$C$1002,$K197))</f>
        <v/>
      </c>
      <c r="P197">
        <f>IF($A197="","",$A197*100000+ROW())</f>
        <v/>
      </c>
    </row>
    <row r="198" ht="18" customHeight="1">
      <c r="A198" s="60" t="n"/>
      <c r="B198" s="61">
        <f>IF(A198="","",TEXT(A198,"mmm yyyy"))</f>
        <v/>
      </c>
      <c r="C198" s="62" t="n"/>
      <c r="D198" s="62" t="n"/>
      <c r="E198" s="62" t="n"/>
      <c r="F198" s="62" t="n"/>
      <c r="G198" s="63" t="n"/>
      <c r="H198" s="62" t="n"/>
      <c r="K198">
        <f>IF($C198="","",IF(COUNTIF($C$3:$C198,$C198)=1,$C198,""))</f>
        <v/>
      </c>
      <c r="L198">
        <f>IF($K198="","",$M198+ROW()/10000000)</f>
        <v/>
      </c>
      <c r="M198">
        <f>IF($K198="","",SUMIF($C$3:$C$1002,$K198,$G$3:$G$1002))</f>
        <v/>
      </c>
      <c r="N198">
        <f>IF($K198="","",COUNTIF($C$3:$C$1002,$K198))</f>
        <v/>
      </c>
      <c r="P198">
        <f>IF($A198="","",$A198*100000+ROW())</f>
        <v/>
      </c>
    </row>
    <row r="199" ht="18" customHeight="1">
      <c r="A199" s="60" t="n"/>
      <c r="B199" s="61">
        <f>IF(A199="","",TEXT(A199,"mmm yyyy"))</f>
        <v/>
      </c>
      <c r="C199" s="62" t="n"/>
      <c r="D199" s="62" t="n"/>
      <c r="E199" s="62" t="n"/>
      <c r="F199" s="62" t="n"/>
      <c r="G199" s="63" t="n"/>
      <c r="H199" s="62" t="n"/>
      <c r="K199">
        <f>IF($C199="","",IF(COUNTIF($C$3:$C199,$C199)=1,$C199,""))</f>
        <v/>
      </c>
      <c r="L199">
        <f>IF($K199="","",$M199+ROW()/10000000)</f>
        <v/>
      </c>
      <c r="M199">
        <f>IF($K199="","",SUMIF($C$3:$C$1002,$K199,$G$3:$G$1002))</f>
        <v/>
      </c>
      <c r="N199">
        <f>IF($K199="","",COUNTIF($C$3:$C$1002,$K199))</f>
        <v/>
      </c>
      <c r="P199">
        <f>IF($A199="","",$A199*100000+ROW())</f>
        <v/>
      </c>
    </row>
    <row r="200" ht="18" customHeight="1">
      <c r="A200" s="60" t="n"/>
      <c r="B200" s="61">
        <f>IF(A200="","",TEXT(A200,"mmm yyyy"))</f>
        <v/>
      </c>
      <c r="C200" s="62" t="n"/>
      <c r="D200" s="62" t="n"/>
      <c r="E200" s="62" t="n"/>
      <c r="F200" s="62" t="n"/>
      <c r="G200" s="63" t="n"/>
      <c r="H200" s="62" t="n"/>
      <c r="K200">
        <f>IF($C200="","",IF(COUNTIF($C$3:$C200,$C200)=1,$C200,""))</f>
        <v/>
      </c>
      <c r="L200">
        <f>IF($K200="","",$M200+ROW()/10000000)</f>
        <v/>
      </c>
      <c r="M200">
        <f>IF($K200="","",SUMIF($C$3:$C$1002,$K200,$G$3:$G$1002))</f>
        <v/>
      </c>
      <c r="N200">
        <f>IF($K200="","",COUNTIF($C$3:$C$1002,$K200))</f>
        <v/>
      </c>
      <c r="P200">
        <f>IF($A200="","",$A200*100000+ROW())</f>
        <v/>
      </c>
    </row>
    <row r="201" ht="18" customHeight="1">
      <c r="A201" s="60" t="n"/>
      <c r="B201" s="61">
        <f>IF(A201="","",TEXT(A201,"mmm yyyy"))</f>
        <v/>
      </c>
      <c r="C201" s="62" t="n"/>
      <c r="D201" s="62" t="n"/>
      <c r="E201" s="62" t="n"/>
      <c r="F201" s="62" t="n"/>
      <c r="G201" s="63" t="n"/>
      <c r="H201" s="62" t="n"/>
      <c r="K201">
        <f>IF($C201="","",IF(COUNTIF($C$3:$C201,$C201)=1,$C201,""))</f>
        <v/>
      </c>
      <c r="L201">
        <f>IF($K201="","",$M201+ROW()/10000000)</f>
        <v/>
      </c>
      <c r="M201">
        <f>IF($K201="","",SUMIF($C$3:$C$1002,$K201,$G$3:$G$1002))</f>
        <v/>
      </c>
      <c r="N201">
        <f>IF($K201="","",COUNTIF($C$3:$C$1002,$K201))</f>
        <v/>
      </c>
      <c r="P201">
        <f>IF($A201="","",$A201*100000+ROW())</f>
        <v/>
      </c>
    </row>
    <row r="202" ht="18" customHeight="1">
      <c r="A202" s="60" t="n"/>
      <c r="B202" s="61">
        <f>IF(A202="","",TEXT(A202,"mmm yyyy"))</f>
        <v/>
      </c>
      <c r="C202" s="62" t="n"/>
      <c r="D202" s="62" t="n"/>
      <c r="E202" s="62" t="n"/>
      <c r="F202" s="62" t="n"/>
      <c r="G202" s="63" t="n"/>
      <c r="H202" s="62" t="n"/>
      <c r="K202">
        <f>IF($C202="","",IF(COUNTIF($C$3:$C202,$C202)=1,$C202,""))</f>
        <v/>
      </c>
      <c r="L202">
        <f>IF($K202="","",$M202+ROW()/10000000)</f>
        <v/>
      </c>
      <c r="M202">
        <f>IF($K202="","",SUMIF($C$3:$C$1002,$K202,$G$3:$G$1002))</f>
        <v/>
      </c>
      <c r="N202">
        <f>IF($K202="","",COUNTIF($C$3:$C$1002,$K202))</f>
        <v/>
      </c>
      <c r="P202">
        <f>IF($A202="","",$A202*100000+ROW())</f>
        <v/>
      </c>
    </row>
    <row r="203" ht="18" customHeight="1">
      <c r="A203" s="60" t="n"/>
      <c r="B203" s="61">
        <f>IF(A203="","",TEXT(A203,"mmm yyyy"))</f>
        <v/>
      </c>
      <c r="C203" s="62" t="n"/>
      <c r="D203" s="62" t="n"/>
      <c r="E203" s="62" t="n"/>
      <c r="F203" s="62" t="n"/>
      <c r="G203" s="63" t="n"/>
      <c r="H203" s="62" t="n"/>
      <c r="K203">
        <f>IF($C203="","",IF(COUNTIF($C$3:$C203,$C203)=1,$C203,""))</f>
        <v/>
      </c>
      <c r="L203">
        <f>IF($K203="","",$M203+ROW()/10000000)</f>
        <v/>
      </c>
      <c r="M203">
        <f>IF($K203="","",SUMIF($C$3:$C$1002,$K203,$G$3:$G$1002))</f>
        <v/>
      </c>
      <c r="N203">
        <f>IF($K203="","",COUNTIF($C$3:$C$1002,$K203))</f>
        <v/>
      </c>
      <c r="P203">
        <f>IF($A203="","",$A203*100000+ROW())</f>
        <v/>
      </c>
    </row>
    <row r="204" ht="18" customHeight="1">
      <c r="A204" s="60" t="n"/>
      <c r="B204" s="61">
        <f>IF(A204="","",TEXT(A204,"mmm yyyy"))</f>
        <v/>
      </c>
      <c r="C204" s="62" t="n"/>
      <c r="D204" s="62" t="n"/>
      <c r="E204" s="62" t="n"/>
      <c r="F204" s="62" t="n"/>
      <c r="G204" s="63" t="n"/>
      <c r="H204" s="62" t="n"/>
      <c r="K204">
        <f>IF($C204="","",IF(COUNTIF($C$3:$C204,$C204)=1,$C204,""))</f>
        <v/>
      </c>
      <c r="L204">
        <f>IF($K204="","",$M204+ROW()/10000000)</f>
        <v/>
      </c>
      <c r="M204">
        <f>IF($K204="","",SUMIF($C$3:$C$1002,$K204,$G$3:$G$1002))</f>
        <v/>
      </c>
      <c r="N204">
        <f>IF($K204="","",COUNTIF($C$3:$C$1002,$K204))</f>
        <v/>
      </c>
      <c r="P204">
        <f>IF($A204="","",$A204*100000+ROW())</f>
        <v/>
      </c>
    </row>
    <row r="205" ht="18" customHeight="1">
      <c r="A205" s="60" t="n"/>
      <c r="B205" s="61">
        <f>IF(A205="","",TEXT(A205,"mmm yyyy"))</f>
        <v/>
      </c>
      <c r="C205" s="62" t="n"/>
      <c r="D205" s="62" t="n"/>
      <c r="E205" s="62" t="n"/>
      <c r="F205" s="62" t="n"/>
      <c r="G205" s="63" t="n"/>
      <c r="H205" s="62" t="n"/>
      <c r="K205">
        <f>IF($C205="","",IF(COUNTIF($C$3:$C205,$C205)=1,$C205,""))</f>
        <v/>
      </c>
      <c r="L205">
        <f>IF($K205="","",$M205+ROW()/10000000)</f>
        <v/>
      </c>
      <c r="M205">
        <f>IF($K205="","",SUMIF($C$3:$C$1002,$K205,$G$3:$G$1002))</f>
        <v/>
      </c>
      <c r="N205">
        <f>IF($K205="","",COUNTIF($C$3:$C$1002,$K205))</f>
        <v/>
      </c>
      <c r="P205">
        <f>IF($A205="","",$A205*100000+ROW())</f>
        <v/>
      </c>
    </row>
    <row r="206" ht="18" customHeight="1">
      <c r="A206" s="60" t="n"/>
      <c r="B206" s="61">
        <f>IF(A206="","",TEXT(A206,"mmm yyyy"))</f>
        <v/>
      </c>
      <c r="C206" s="62" t="n"/>
      <c r="D206" s="62" t="n"/>
      <c r="E206" s="62" t="n"/>
      <c r="F206" s="62" t="n"/>
      <c r="G206" s="63" t="n"/>
      <c r="H206" s="62" t="n"/>
      <c r="K206">
        <f>IF($C206="","",IF(COUNTIF($C$3:$C206,$C206)=1,$C206,""))</f>
        <v/>
      </c>
      <c r="L206">
        <f>IF($K206="","",$M206+ROW()/10000000)</f>
        <v/>
      </c>
      <c r="M206">
        <f>IF($K206="","",SUMIF($C$3:$C$1002,$K206,$G$3:$G$1002))</f>
        <v/>
      </c>
      <c r="N206">
        <f>IF($K206="","",COUNTIF($C$3:$C$1002,$K206))</f>
        <v/>
      </c>
      <c r="P206">
        <f>IF($A206="","",$A206*100000+ROW())</f>
        <v/>
      </c>
    </row>
    <row r="207" ht="18" customHeight="1">
      <c r="A207" s="60" t="n"/>
      <c r="B207" s="61">
        <f>IF(A207="","",TEXT(A207,"mmm yyyy"))</f>
        <v/>
      </c>
      <c r="C207" s="62" t="n"/>
      <c r="D207" s="62" t="n"/>
      <c r="E207" s="62" t="n"/>
      <c r="F207" s="62" t="n"/>
      <c r="G207" s="63" t="n"/>
      <c r="H207" s="62" t="n"/>
      <c r="K207">
        <f>IF($C207="","",IF(COUNTIF($C$3:$C207,$C207)=1,$C207,""))</f>
        <v/>
      </c>
      <c r="L207">
        <f>IF($K207="","",$M207+ROW()/10000000)</f>
        <v/>
      </c>
      <c r="M207">
        <f>IF($K207="","",SUMIF($C$3:$C$1002,$K207,$G$3:$G$1002))</f>
        <v/>
      </c>
      <c r="N207">
        <f>IF($K207="","",COUNTIF($C$3:$C$1002,$K207))</f>
        <v/>
      </c>
      <c r="P207">
        <f>IF($A207="","",$A207*100000+ROW())</f>
        <v/>
      </c>
    </row>
    <row r="208" ht="18" customHeight="1">
      <c r="A208" s="60" t="n"/>
      <c r="B208" s="61">
        <f>IF(A208="","",TEXT(A208,"mmm yyyy"))</f>
        <v/>
      </c>
      <c r="C208" s="62" t="n"/>
      <c r="D208" s="62" t="n"/>
      <c r="E208" s="62" t="n"/>
      <c r="F208" s="62" t="n"/>
      <c r="G208" s="63" t="n"/>
      <c r="H208" s="62" t="n"/>
      <c r="K208">
        <f>IF($C208="","",IF(COUNTIF($C$3:$C208,$C208)=1,$C208,""))</f>
        <v/>
      </c>
      <c r="L208">
        <f>IF($K208="","",$M208+ROW()/10000000)</f>
        <v/>
      </c>
      <c r="M208">
        <f>IF($K208="","",SUMIF($C$3:$C$1002,$K208,$G$3:$G$1002))</f>
        <v/>
      </c>
      <c r="N208">
        <f>IF($K208="","",COUNTIF($C$3:$C$1002,$K208))</f>
        <v/>
      </c>
      <c r="P208">
        <f>IF($A208="","",$A208*100000+ROW())</f>
        <v/>
      </c>
    </row>
    <row r="209" ht="18" customHeight="1">
      <c r="A209" s="60" t="n"/>
      <c r="B209" s="61">
        <f>IF(A209="","",TEXT(A209,"mmm yyyy"))</f>
        <v/>
      </c>
      <c r="C209" s="62" t="n"/>
      <c r="D209" s="62" t="n"/>
      <c r="E209" s="62" t="n"/>
      <c r="F209" s="62" t="n"/>
      <c r="G209" s="63" t="n"/>
      <c r="H209" s="62" t="n"/>
      <c r="K209">
        <f>IF($C209="","",IF(COUNTIF($C$3:$C209,$C209)=1,$C209,""))</f>
        <v/>
      </c>
      <c r="L209">
        <f>IF($K209="","",$M209+ROW()/10000000)</f>
        <v/>
      </c>
      <c r="M209">
        <f>IF($K209="","",SUMIF($C$3:$C$1002,$K209,$G$3:$G$1002))</f>
        <v/>
      </c>
      <c r="N209">
        <f>IF($K209="","",COUNTIF($C$3:$C$1002,$K209))</f>
        <v/>
      </c>
      <c r="P209">
        <f>IF($A209="","",$A209*100000+ROW())</f>
        <v/>
      </c>
    </row>
    <row r="210" ht="18" customHeight="1">
      <c r="A210" s="60" t="n"/>
      <c r="B210" s="61">
        <f>IF(A210="","",TEXT(A210,"mmm yyyy"))</f>
        <v/>
      </c>
      <c r="C210" s="62" t="n"/>
      <c r="D210" s="62" t="n"/>
      <c r="E210" s="62" t="n"/>
      <c r="F210" s="62" t="n"/>
      <c r="G210" s="63" t="n"/>
      <c r="H210" s="62" t="n"/>
      <c r="K210">
        <f>IF($C210="","",IF(COUNTIF($C$3:$C210,$C210)=1,$C210,""))</f>
        <v/>
      </c>
      <c r="L210">
        <f>IF($K210="","",$M210+ROW()/10000000)</f>
        <v/>
      </c>
      <c r="M210">
        <f>IF($K210="","",SUMIF($C$3:$C$1002,$K210,$G$3:$G$1002))</f>
        <v/>
      </c>
      <c r="N210">
        <f>IF($K210="","",COUNTIF($C$3:$C$1002,$K210))</f>
        <v/>
      </c>
      <c r="P210">
        <f>IF($A210="","",$A210*100000+ROW())</f>
        <v/>
      </c>
    </row>
    <row r="211" ht="18" customHeight="1">
      <c r="A211" s="60" t="n"/>
      <c r="B211" s="61">
        <f>IF(A211="","",TEXT(A211,"mmm yyyy"))</f>
        <v/>
      </c>
      <c r="C211" s="62" t="n"/>
      <c r="D211" s="62" t="n"/>
      <c r="E211" s="62" t="n"/>
      <c r="F211" s="62" t="n"/>
      <c r="G211" s="63" t="n"/>
      <c r="H211" s="62" t="n"/>
      <c r="K211">
        <f>IF($C211="","",IF(COUNTIF($C$3:$C211,$C211)=1,$C211,""))</f>
        <v/>
      </c>
      <c r="L211">
        <f>IF($K211="","",$M211+ROW()/10000000)</f>
        <v/>
      </c>
      <c r="M211">
        <f>IF($K211="","",SUMIF($C$3:$C$1002,$K211,$G$3:$G$1002))</f>
        <v/>
      </c>
      <c r="N211">
        <f>IF($K211="","",COUNTIF($C$3:$C$1002,$K211))</f>
        <v/>
      </c>
      <c r="P211">
        <f>IF($A211="","",$A211*100000+ROW())</f>
        <v/>
      </c>
    </row>
    <row r="212" ht="18" customHeight="1">
      <c r="A212" s="60" t="n"/>
      <c r="B212" s="61">
        <f>IF(A212="","",TEXT(A212,"mmm yyyy"))</f>
        <v/>
      </c>
      <c r="C212" s="62" t="n"/>
      <c r="D212" s="62" t="n"/>
      <c r="E212" s="62" t="n"/>
      <c r="F212" s="62" t="n"/>
      <c r="G212" s="63" t="n"/>
      <c r="H212" s="62" t="n"/>
      <c r="K212">
        <f>IF($C212="","",IF(COUNTIF($C$3:$C212,$C212)=1,$C212,""))</f>
        <v/>
      </c>
      <c r="L212">
        <f>IF($K212="","",$M212+ROW()/10000000)</f>
        <v/>
      </c>
      <c r="M212">
        <f>IF($K212="","",SUMIF($C$3:$C$1002,$K212,$G$3:$G$1002))</f>
        <v/>
      </c>
      <c r="N212">
        <f>IF($K212="","",COUNTIF($C$3:$C$1002,$K212))</f>
        <v/>
      </c>
      <c r="P212">
        <f>IF($A212="","",$A212*100000+ROW())</f>
        <v/>
      </c>
    </row>
    <row r="213" ht="18" customHeight="1">
      <c r="A213" s="60" t="n"/>
      <c r="B213" s="61">
        <f>IF(A213="","",TEXT(A213,"mmm yyyy"))</f>
        <v/>
      </c>
      <c r="C213" s="62" t="n"/>
      <c r="D213" s="62" t="n"/>
      <c r="E213" s="62" t="n"/>
      <c r="F213" s="62" t="n"/>
      <c r="G213" s="63" t="n"/>
      <c r="H213" s="62" t="n"/>
      <c r="K213">
        <f>IF($C213="","",IF(COUNTIF($C$3:$C213,$C213)=1,$C213,""))</f>
        <v/>
      </c>
      <c r="L213">
        <f>IF($K213="","",$M213+ROW()/10000000)</f>
        <v/>
      </c>
      <c r="M213">
        <f>IF($K213="","",SUMIF($C$3:$C$1002,$K213,$G$3:$G$1002))</f>
        <v/>
      </c>
      <c r="N213">
        <f>IF($K213="","",COUNTIF($C$3:$C$1002,$K213))</f>
        <v/>
      </c>
      <c r="P213">
        <f>IF($A213="","",$A213*100000+ROW())</f>
        <v/>
      </c>
    </row>
    <row r="214" ht="18" customHeight="1">
      <c r="A214" s="60" t="n"/>
      <c r="B214" s="61">
        <f>IF(A214="","",TEXT(A214,"mmm yyyy"))</f>
        <v/>
      </c>
      <c r="C214" s="62" t="n"/>
      <c r="D214" s="62" t="n"/>
      <c r="E214" s="62" t="n"/>
      <c r="F214" s="62" t="n"/>
      <c r="G214" s="63" t="n"/>
      <c r="H214" s="62" t="n"/>
      <c r="K214">
        <f>IF($C214="","",IF(COUNTIF($C$3:$C214,$C214)=1,$C214,""))</f>
        <v/>
      </c>
      <c r="L214">
        <f>IF($K214="","",$M214+ROW()/10000000)</f>
        <v/>
      </c>
      <c r="M214">
        <f>IF($K214="","",SUMIF($C$3:$C$1002,$K214,$G$3:$G$1002))</f>
        <v/>
      </c>
      <c r="N214">
        <f>IF($K214="","",COUNTIF($C$3:$C$1002,$K214))</f>
        <v/>
      </c>
      <c r="P214">
        <f>IF($A214="","",$A214*100000+ROW())</f>
        <v/>
      </c>
    </row>
    <row r="215" ht="18" customHeight="1">
      <c r="A215" s="60" t="n"/>
      <c r="B215" s="61">
        <f>IF(A215="","",TEXT(A215,"mmm yyyy"))</f>
        <v/>
      </c>
      <c r="C215" s="62" t="n"/>
      <c r="D215" s="62" t="n"/>
      <c r="E215" s="62" t="n"/>
      <c r="F215" s="62" t="n"/>
      <c r="G215" s="63" t="n"/>
      <c r="H215" s="62" t="n"/>
      <c r="K215">
        <f>IF($C215="","",IF(COUNTIF($C$3:$C215,$C215)=1,$C215,""))</f>
        <v/>
      </c>
      <c r="L215">
        <f>IF($K215="","",$M215+ROW()/10000000)</f>
        <v/>
      </c>
      <c r="M215">
        <f>IF($K215="","",SUMIF($C$3:$C$1002,$K215,$G$3:$G$1002))</f>
        <v/>
      </c>
      <c r="N215">
        <f>IF($K215="","",COUNTIF($C$3:$C$1002,$K215))</f>
        <v/>
      </c>
      <c r="P215">
        <f>IF($A215="","",$A215*100000+ROW())</f>
        <v/>
      </c>
    </row>
    <row r="216" ht="18" customHeight="1">
      <c r="A216" s="60" t="n"/>
      <c r="B216" s="61">
        <f>IF(A216="","",TEXT(A216,"mmm yyyy"))</f>
        <v/>
      </c>
      <c r="C216" s="62" t="n"/>
      <c r="D216" s="62" t="n"/>
      <c r="E216" s="62" t="n"/>
      <c r="F216" s="62" t="n"/>
      <c r="G216" s="63" t="n"/>
      <c r="H216" s="62" t="n"/>
      <c r="K216">
        <f>IF($C216="","",IF(COUNTIF($C$3:$C216,$C216)=1,$C216,""))</f>
        <v/>
      </c>
      <c r="L216">
        <f>IF($K216="","",$M216+ROW()/10000000)</f>
        <v/>
      </c>
      <c r="M216">
        <f>IF($K216="","",SUMIF($C$3:$C$1002,$K216,$G$3:$G$1002))</f>
        <v/>
      </c>
      <c r="N216">
        <f>IF($K216="","",COUNTIF($C$3:$C$1002,$K216))</f>
        <v/>
      </c>
      <c r="P216">
        <f>IF($A216="","",$A216*100000+ROW())</f>
        <v/>
      </c>
    </row>
    <row r="217" ht="18" customHeight="1">
      <c r="A217" s="60" t="n"/>
      <c r="B217" s="61">
        <f>IF(A217="","",TEXT(A217,"mmm yyyy"))</f>
        <v/>
      </c>
      <c r="C217" s="62" t="n"/>
      <c r="D217" s="62" t="n"/>
      <c r="E217" s="62" t="n"/>
      <c r="F217" s="62" t="n"/>
      <c r="G217" s="63" t="n"/>
      <c r="H217" s="62" t="n"/>
      <c r="K217">
        <f>IF($C217="","",IF(COUNTIF($C$3:$C217,$C217)=1,$C217,""))</f>
        <v/>
      </c>
      <c r="L217">
        <f>IF($K217="","",$M217+ROW()/10000000)</f>
        <v/>
      </c>
      <c r="M217">
        <f>IF($K217="","",SUMIF($C$3:$C$1002,$K217,$G$3:$G$1002))</f>
        <v/>
      </c>
      <c r="N217">
        <f>IF($K217="","",COUNTIF($C$3:$C$1002,$K217))</f>
        <v/>
      </c>
      <c r="P217">
        <f>IF($A217="","",$A217*100000+ROW())</f>
        <v/>
      </c>
    </row>
    <row r="218" ht="18" customHeight="1">
      <c r="A218" s="60" t="n"/>
      <c r="B218" s="61">
        <f>IF(A218="","",TEXT(A218,"mmm yyyy"))</f>
        <v/>
      </c>
      <c r="C218" s="62" t="n"/>
      <c r="D218" s="62" t="n"/>
      <c r="E218" s="62" t="n"/>
      <c r="F218" s="62" t="n"/>
      <c r="G218" s="63" t="n"/>
      <c r="H218" s="62" t="n"/>
      <c r="K218">
        <f>IF($C218="","",IF(COUNTIF($C$3:$C218,$C218)=1,$C218,""))</f>
        <v/>
      </c>
      <c r="L218">
        <f>IF($K218="","",$M218+ROW()/10000000)</f>
        <v/>
      </c>
      <c r="M218">
        <f>IF($K218="","",SUMIF($C$3:$C$1002,$K218,$G$3:$G$1002))</f>
        <v/>
      </c>
      <c r="N218">
        <f>IF($K218="","",COUNTIF($C$3:$C$1002,$K218))</f>
        <v/>
      </c>
      <c r="P218">
        <f>IF($A218="","",$A218*100000+ROW())</f>
        <v/>
      </c>
    </row>
    <row r="219" ht="18" customHeight="1">
      <c r="A219" s="60" t="n"/>
      <c r="B219" s="61">
        <f>IF(A219="","",TEXT(A219,"mmm yyyy"))</f>
        <v/>
      </c>
      <c r="C219" s="62" t="n"/>
      <c r="D219" s="62" t="n"/>
      <c r="E219" s="62" t="n"/>
      <c r="F219" s="62" t="n"/>
      <c r="G219" s="63" t="n"/>
      <c r="H219" s="62" t="n"/>
      <c r="K219">
        <f>IF($C219="","",IF(COUNTIF($C$3:$C219,$C219)=1,$C219,""))</f>
        <v/>
      </c>
      <c r="L219">
        <f>IF($K219="","",$M219+ROW()/10000000)</f>
        <v/>
      </c>
      <c r="M219">
        <f>IF($K219="","",SUMIF($C$3:$C$1002,$K219,$G$3:$G$1002))</f>
        <v/>
      </c>
      <c r="N219">
        <f>IF($K219="","",COUNTIF($C$3:$C$1002,$K219))</f>
        <v/>
      </c>
      <c r="P219">
        <f>IF($A219="","",$A219*100000+ROW())</f>
        <v/>
      </c>
    </row>
    <row r="220" ht="18" customHeight="1">
      <c r="A220" s="60" t="n"/>
      <c r="B220" s="61">
        <f>IF(A220="","",TEXT(A220,"mmm yyyy"))</f>
        <v/>
      </c>
      <c r="C220" s="62" t="n"/>
      <c r="D220" s="62" t="n"/>
      <c r="E220" s="62" t="n"/>
      <c r="F220" s="62" t="n"/>
      <c r="G220" s="63" t="n"/>
      <c r="H220" s="62" t="n"/>
      <c r="K220">
        <f>IF($C220="","",IF(COUNTIF($C$3:$C220,$C220)=1,$C220,""))</f>
        <v/>
      </c>
      <c r="L220">
        <f>IF($K220="","",$M220+ROW()/10000000)</f>
        <v/>
      </c>
      <c r="M220">
        <f>IF($K220="","",SUMIF($C$3:$C$1002,$K220,$G$3:$G$1002))</f>
        <v/>
      </c>
      <c r="N220">
        <f>IF($K220="","",COUNTIF($C$3:$C$1002,$K220))</f>
        <v/>
      </c>
      <c r="P220">
        <f>IF($A220="","",$A220*100000+ROW())</f>
        <v/>
      </c>
    </row>
    <row r="221" ht="18" customHeight="1">
      <c r="A221" s="60" t="n"/>
      <c r="B221" s="61">
        <f>IF(A221="","",TEXT(A221,"mmm yyyy"))</f>
        <v/>
      </c>
      <c r="C221" s="62" t="n"/>
      <c r="D221" s="62" t="n"/>
      <c r="E221" s="62" t="n"/>
      <c r="F221" s="62" t="n"/>
      <c r="G221" s="63" t="n"/>
      <c r="H221" s="62" t="n"/>
      <c r="K221">
        <f>IF($C221="","",IF(COUNTIF($C$3:$C221,$C221)=1,$C221,""))</f>
        <v/>
      </c>
      <c r="L221">
        <f>IF($K221="","",$M221+ROW()/10000000)</f>
        <v/>
      </c>
      <c r="M221">
        <f>IF($K221="","",SUMIF($C$3:$C$1002,$K221,$G$3:$G$1002))</f>
        <v/>
      </c>
      <c r="N221">
        <f>IF($K221="","",COUNTIF($C$3:$C$1002,$K221))</f>
        <v/>
      </c>
      <c r="P221">
        <f>IF($A221="","",$A221*100000+ROW())</f>
        <v/>
      </c>
    </row>
    <row r="222" ht="18" customHeight="1">
      <c r="A222" s="60" t="n"/>
      <c r="B222" s="61">
        <f>IF(A222="","",TEXT(A222,"mmm yyyy"))</f>
        <v/>
      </c>
      <c r="C222" s="62" t="n"/>
      <c r="D222" s="62" t="n"/>
      <c r="E222" s="62" t="n"/>
      <c r="F222" s="62" t="n"/>
      <c r="G222" s="63" t="n"/>
      <c r="H222" s="62" t="n"/>
      <c r="K222">
        <f>IF($C222="","",IF(COUNTIF($C$3:$C222,$C222)=1,$C222,""))</f>
        <v/>
      </c>
      <c r="L222">
        <f>IF($K222="","",$M222+ROW()/10000000)</f>
        <v/>
      </c>
      <c r="M222">
        <f>IF($K222="","",SUMIF($C$3:$C$1002,$K222,$G$3:$G$1002))</f>
        <v/>
      </c>
      <c r="N222">
        <f>IF($K222="","",COUNTIF($C$3:$C$1002,$K222))</f>
        <v/>
      </c>
      <c r="P222">
        <f>IF($A222="","",$A222*100000+ROW())</f>
        <v/>
      </c>
    </row>
    <row r="223" ht="18" customHeight="1">
      <c r="A223" s="60" t="n"/>
      <c r="B223" s="61">
        <f>IF(A223="","",TEXT(A223,"mmm yyyy"))</f>
        <v/>
      </c>
      <c r="C223" s="62" t="n"/>
      <c r="D223" s="62" t="n"/>
      <c r="E223" s="62" t="n"/>
      <c r="F223" s="62" t="n"/>
      <c r="G223" s="63" t="n"/>
      <c r="H223" s="62" t="n"/>
      <c r="K223">
        <f>IF($C223="","",IF(COUNTIF($C$3:$C223,$C223)=1,$C223,""))</f>
        <v/>
      </c>
      <c r="L223">
        <f>IF($K223="","",$M223+ROW()/10000000)</f>
        <v/>
      </c>
      <c r="M223">
        <f>IF($K223="","",SUMIF($C$3:$C$1002,$K223,$G$3:$G$1002))</f>
        <v/>
      </c>
      <c r="N223">
        <f>IF($K223="","",COUNTIF($C$3:$C$1002,$K223))</f>
        <v/>
      </c>
      <c r="P223">
        <f>IF($A223="","",$A223*100000+ROW())</f>
        <v/>
      </c>
    </row>
    <row r="224" ht="18" customHeight="1">
      <c r="A224" s="60" t="n"/>
      <c r="B224" s="61">
        <f>IF(A224="","",TEXT(A224,"mmm yyyy"))</f>
        <v/>
      </c>
      <c r="C224" s="62" t="n"/>
      <c r="D224" s="62" t="n"/>
      <c r="E224" s="62" t="n"/>
      <c r="F224" s="62" t="n"/>
      <c r="G224" s="63" t="n"/>
      <c r="H224" s="62" t="n"/>
      <c r="K224">
        <f>IF($C224="","",IF(COUNTIF($C$3:$C224,$C224)=1,$C224,""))</f>
        <v/>
      </c>
      <c r="L224">
        <f>IF($K224="","",$M224+ROW()/10000000)</f>
        <v/>
      </c>
      <c r="M224">
        <f>IF($K224="","",SUMIF($C$3:$C$1002,$K224,$G$3:$G$1002))</f>
        <v/>
      </c>
      <c r="N224">
        <f>IF($K224="","",COUNTIF($C$3:$C$1002,$K224))</f>
        <v/>
      </c>
      <c r="P224">
        <f>IF($A224="","",$A224*100000+ROW())</f>
        <v/>
      </c>
    </row>
    <row r="225" ht="18" customHeight="1">
      <c r="A225" s="60" t="n"/>
      <c r="B225" s="61">
        <f>IF(A225="","",TEXT(A225,"mmm yyyy"))</f>
        <v/>
      </c>
      <c r="C225" s="62" t="n"/>
      <c r="D225" s="62" t="n"/>
      <c r="E225" s="62" t="n"/>
      <c r="F225" s="62" t="n"/>
      <c r="G225" s="63" t="n"/>
      <c r="H225" s="62" t="n"/>
      <c r="K225">
        <f>IF($C225="","",IF(COUNTIF($C$3:$C225,$C225)=1,$C225,""))</f>
        <v/>
      </c>
      <c r="L225">
        <f>IF($K225="","",$M225+ROW()/10000000)</f>
        <v/>
      </c>
      <c r="M225">
        <f>IF($K225="","",SUMIF($C$3:$C$1002,$K225,$G$3:$G$1002))</f>
        <v/>
      </c>
      <c r="N225">
        <f>IF($K225="","",COUNTIF($C$3:$C$1002,$K225))</f>
        <v/>
      </c>
      <c r="P225">
        <f>IF($A225="","",$A225*100000+ROW())</f>
        <v/>
      </c>
    </row>
    <row r="226" ht="18" customHeight="1">
      <c r="A226" s="60" t="n"/>
      <c r="B226" s="61">
        <f>IF(A226="","",TEXT(A226,"mmm yyyy"))</f>
        <v/>
      </c>
      <c r="C226" s="62" t="n"/>
      <c r="D226" s="62" t="n"/>
      <c r="E226" s="62" t="n"/>
      <c r="F226" s="62" t="n"/>
      <c r="G226" s="63" t="n"/>
      <c r="H226" s="62" t="n"/>
      <c r="K226">
        <f>IF($C226="","",IF(COUNTIF($C$3:$C226,$C226)=1,$C226,""))</f>
        <v/>
      </c>
      <c r="L226">
        <f>IF($K226="","",$M226+ROW()/10000000)</f>
        <v/>
      </c>
      <c r="M226">
        <f>IF($K226="","",SUMIF($C$3:$C$1002,$K226,$G$3:$G$1002))</f>
        <v/>
      </c>
      <c r="N226">
        <f>IF($K226="","",COUNTIF($C$3:$C$1002,$K226))</f>
        <v/>
      </c>
      <c r="P226">
        <f>IF($A226="","",$A226*100000+ROW())</f>
        <v/>
      </c>
    </row>
    <row r="227" ht="18" customHeight="1">
      <c r="A227" s="60" t="n"/>
      <c r="B227" s="61">
        <f>IF(A227="","",TEXT(A227,"mmm yyyy"))</f>
        <v/>
      </c>
      <c r="C227" s="62" t="n"/>
      <c r="D227" s="62" t="n"/>
      <c r="E227" s="62" t="n"/>
      <c r="F227" s="62" t="n"/>
      <c r="G227" s="63" t="n"/>
      <c r="H227" s="62" t="n"/>
      <c r="K227">
        <f>IF($C227="","",IF(COUNTIF($C$3:$C227,$C227)=1,$C227,""))</f>
        <v/>
      </c>
      <c r="L227">
        <f>IF($K227="","",$M227+ROW()/10000000)</f>
        <v/>
      </c>
      <c r="M227">
        <f>IF($K227="","",SUMIF($C$3:$C$1002,$K227,$G$3:$G$1002))</f>
        <v/>
      </c>
      <c r="N227">
        <f>IF($K227="","",COUNTIF($C$3:$C$1002,$K227))</f>
        <v/>
      </c>
      <c r="P227">
        <f>IF($A227="","",$A227*100000+ROW())</f>
        <v/>
      </c>
    </row>
    <row r="228" ht="18" customHeight="1">
      <c r="A228" s="60" t="n"/>
      <c r="B228" s="61">
        <f>IF(A228="","",TEXT(A228,"mmm yyyy"))</f>
        <v/>
      </c>
      <c r="C228" s="62" t="n"/>
      <c r="D228" s="62" t="n"/>
      <c r="E228" s="62" t="n"/>
      <c r="F228" s="62" t="n"/>
      <c r="G228" s="63" t="n"/>
      <c r="H228" s="62" t="n"/>
      <c r="K228">
        <f>IF($C228="","",IF(COUNTIF($C$3:$C228,$C228)=1,$C228,""))</f>
        <v/>
      </c>
      <c r="L228">
        <f>IF($K228="","",$M228+ROW()/10000000)</f>
        <v/>
      </c>
      <c r="M228">
        <f>IF($K228="","",SUMIF($C$3:$C$1002,$K228,$G$3:$G$1002))</f>
        <v/>
      </c>
      <c r="N228">
        <f>IF($K228="","",COUNTIF($C$3:$C$1002,$K228))</f>
        <v/>
      </c>
      <c r="P228">
        <f>IF($A228="","",$A228*100000+ROW())</f>
        <v/>
      </c>
    </row>
    <row r="229" ht="18" customHeight="1">
      <c r="A229" s="60" t="n"/>
      <c r="B229" s="61">
        <f>IF(A229="","",TEXT(A229,"mmm yyyy"))</f>
        <v/>
      </c>
      <c r="C229" s="62" t="n"/>
      <c r="D229" s="62" t="n"/>
      <c r="E229" s="62" t="n"/>
      <c r="F229" s="62" t="n"/>
      <c r="G229" s="63" t="n"/>
      <c r="H229" s="62" t="n"/>
      <c r="K229">
        <f>IF($C229="","",IF(COUNTIF($C$3:$C229,$C229)=1,$C229,""))</f>
        <v/>
      </c>
      <c r="L229">
        <f>IF($K229="","",$M229+ROW()/10000000)</f>
        <v/>
      </c>
      <c r="M229">
        <f>IF($K229="","",SUMIF($C$3:$C$1002,$K229,$G$3:$G$1002))</f>
        <v/>
      </c>
      <c r="N229">
        <f>IF($K229="","",COUNTIF($C$3:$C$1002,$K229))</f>
        <v/>
      </c>
      <c r="P229">
        <f>IF($A229="","",$A229*100000+ROW())</f>
        <v/>
      </c>
    </row>
    <row r="230" ht="18" customHeight="1">
      <c r="A230" s="60" t="n"/>
      <c r="B230" s="61">
        <f>IF(A230="","",TEXT(A230,"mmm yyyy"))</f>
        <v/>
      </c>
      <c r="C230" s="62" t="n"/>
      <c r="D230" s="62" t="n"/>
      <c r="E230" s="62" t="n"/>
      <c r="F230" s="62" t="n"/>
      <c r="G230" s="63" t="n"/>
      <c r="H230" s="62" t="n"/>
      <c r="K230">
        <f>IF($C230="","",IF(COUNTIF($C$3:$C230,$C230)=1,$C230,""))</f>
        <v/>
      </c>
      <c r="L230">
        <f>IF($K230="","",$M230+ROW()/10000000)</f>
        <v/>
      </c>
      <c r="M230">
        <f>IF($K230="","",SUMIF($C$3:$C$1002,$K230,$G$3:$G$1002))</f>
        <v/>
      </c>
      <c r="N230">
        <f>IF($K230="","",COUNTIF($C$3:$C$1002,$K230))</f>
        <v/>
      </c>
      <c r="P230">
        <f>IF($A230="","",$A230*100000+ROW())</f>
        <v/>
      </c>
    </row>
    <row r="231" ht="18" customHeight="1">
      <c r="A231" s="60" t="n"/>
      <c r="B231" s="61">
        <f>IF(A231="","",TEXT(A231,"mmm yyyy"))</f>
        <v/>
      </c>
      <c r="C231" s="62" t="n"/>
      <c r="D231" s="62" t="n"/>
      <c r="E231" s="62" t="n"/>
      <c r="F231" s="62" t="n"/>
      <c r="G231" s="63" t="n"/>
      <c r="H231" s="62" t="n"/>
      <c r="K231">
        <f>IF($C231="","",IF(COUNTIF($C$3:$C231,$C231)=1,$C231,""))</f>
        <v/>
      </c>
      <c r="L231">
        <f>IF($K231="","",$M231+ROW()/10000000)</f>
        <v/>
      </c>
      <c r="M231">
        <f>IF($K231="","",SUMIF($C$3:$C$1002,$K231,$G$3:$G$1002))</f>
        <v/>
      </c>
      <c r="N231">
        <f>IF($K231="","",COUNTIF($C$3:$C$1002,$K231))</f>
        <v/>
      </c>
      <c r="P231">
        <f>IF($A231="","",$A231*100000+ROW())</f>
        <v/>
      </c>
    </row>
    <row r="232" ht="18" customHeight="1">
      <c r="A232" s="60" t="n"/>
      <c r="B232" s="61">
        <f>IF(A232="","",TEXT(A232,"mmm yyyy"))</f>
        <v/>
      </c>
      <c r="C232" s="62" t="n"/>
      <c r="D232" s="62" t="n"/>
      <c r="E232" s="62" t="n"/>
      <c r="F232" s="62" t="n"/>
      <c r="G232" s="63" t="n"/>
      <c r="H232" s="62" t="n"/>
      <c r="K232">
        <f>IF($C232="","",IF(COUNTIF($C$3:$C232,$C232)=1,$C232,""))</f>
        <v/>
      </c>
      <c r="L232">
        <f>IF($K232="","",$M232+ROW()/10000000)</f>
        <v/>
      </c>
      <c r="M232">
        <f>IF($K232="","",SUMIF($C$3:$C$1002,$K232,$G$3:$G$1002))</f>
        <v/>
      </c>
      <c r="N232">
        <f>IF($K232="","",COUNTIF($C$3:$C$1002,$K232))</f>
        <v/>
      </c>
      <c r="P232">
        <f>IF($A232="","",$A232*100000+ROW())</f>
        <v/>
      </c>
    </row>
    <row r="233" ht="18" customHeight="1">
      <c r="A233" s="60" t="n"/>
      <c r="B233" s="61">
        <f>IF(A233="","",TEXT(A233,"mmm yyyy"))</f>
        <v/>
      </c>
      <c r="C233" s="62" t="n"/>
      <c r="D233" s="62" t="n"/>
      <c r="E233" s="62" t="n"/>
      <c r="F233" s="62" t="n"/>
      <c r="G233" s="63" t="n"/>
      <c r="H233" s="62" t="n"/>
      <c r="K233">
        <f>IF($C233="","",IF(COUNTIF($C$3:$C233,$C233)=1,$C233,""))</f>
        <v/>
      </c>
      <c r="L233">
        <f>IF($K233="","",$M233+ROW()/10000000)</f>
        <v/>
      </c>
      <c r="M233">
        <f>IF($K233="","",SUMIF($C$3:$C$1002,$K233,$G$3:$G$1002))</f>
        <v/>
      </c>
      <c r="N233">
        <f>IF($K233="","",COUNTIF($C$3:$C$1002,$K233))</f>
        <v/>
      </c>
      <c r="P233">
        <f>IF($A233="","",$A233*100000+ROW())</f>
        <v/>
      </c>
    </row>
    <row r="234" ht="18" customHeight="1">
      <c r="A234" s="60" t="n"/>
      <c r="B234" s="61">
        <f>IF(A234="","",TEXT(A234,"mmm yyyy"))</f>
        <v/>
      </c>
      <c r="C234" s="62" t="n"/>
      <c r="D234" s="62" t="n"/>
      <c r="E234" s="62" t="n"/>
      <c r="F234" s="62" t="n"/>
      <c r="G234" s="63" t="n"/>
      <c r="H234" s="62" t="n"/>
      <c r="K234">
        <f>IF($C234="","",IF(COUNTIF($C$3:$C234,$C234)=1,$C234,""))</f>
        <v/>
      </c>
      <c r="L234">
        <f>IF($K234="","",$M234+ROW()/10000000)</f>
        <v/>
      </c>
      <c r="M234">
        <f>IF($K234="","",SUMIF($C$3:$C$1002,$K234,$G$3:$G$1002))</f>
        <v/>
      </c>
      <c r="N234">
        <f>IF($K234="","",COUNTIF($C$3:$C$1002,$K234))</f>
        <v/>
      </c>
      <c r="P234">
        <f>IF($A234="","",$A234*100000+ROW())</f>
        <v/>
      </c>
    </row>
    <row r="235" ht="18" customHeight="1">
      <c r="A235" s="60" t="n"/>
      <c r="B235" s="61">
        <f>IF(A235="","",TEXT(A235,"mmm yyyy"))</f>
        <v/>
      </c>
      <c r="C235" s="62" t="n"/>
      <c r="D235" s="62" t="n"/>
      <c r="E235" s="62" t="n"/>
      <c r="F235" s="62" t="n"/>
      <c r="G235" s="63" t="n"/>
      <c r="H235" s="62" t="n"/>
      <c r="K235">
        <f>IF($C235="","",IF(COUNTIF($C$3:$C235,$C235)=1,$C235,""))</f>
        <v/>
      </c>
      <c r="L235">
        <f>IF($K235="","",$M235+ROW()/10000000)</f>
        <v/>
      </c>
      <c r="M235">
        <f>IF($K235="","",SUMIF($C$3:$C$1002,$K235,$G$3:$G$1002))</f>
        <v/>
      </c>
      <c r="N235">
        <f>IF($K235="","",COUNTIF($C$3:$C$1002,$K235))</f>
        <v/>
      </c>
      <c r="P235">
        <f>IF($A235="","",$A235*100000+ROW())</f>
        <v/>
      </c>
    </row>
    <row r="236" ht="18" customHeight="1">
      <c r="A236" s="60" t="n"/>
      <c r="B236" s="61">
        <f>IF(A236="","",TEXT(A236,"mmm yyyy"))</f>
        <v/>
      </c>
      <c r="C236" s="62" t="n"/>
      <c r="D236" s="62" t="n"/>
      <c r="E236" s="62" t="n"/>
      <c r="F236" s="62" t="n"/>
      <c r="G236" s="63" t="n"/>
      <c r="H236" s="62" t="n"/>
      <c r="K236">
        <f>IF($C236="","",IF(COUNTIF($C$3:$C236,$C236)=1,$C236,""))</f>
        <v/>
      </c>
      <c r="L236">
        <f>IF($K236="","",$M236+ROW()/10000000)</f>
        <v/>
      </c>
      <c r="M236">
        <f>IF($K236="","",SUMIF($C$3:$C$1002,$K236,$G$3:$G$1002))</f>
        <v/>
      </c>
      <c r="N236">
        <f>IF($K236="","",COUNTIF($C$3:$C$1002,$K236))</f>
        <v/>
      </c>
      <c r="P236">
        <f>IF($A236="","",$A236*100000+ROW())</f>
        <v/>
      </c>
    </row>
    <row r="237" ht="18" customHeight="1">
      <c r="A237" s="60" t="n"/>
      <c r="B237" s="61">
        <f>IF(A237="","",TEXT(A237,"mmm yyyy"))</f>
        <v/>
      </c>
      <c r="C237" s="62" t="n"/>
      <c r="D237" s="62" t="n"/>
      <c r="E237" s="62" t="n"/>
      <c r="F237" s="62" t="n"/>
      <c r="G237" s="63" t="n"/>
      <c r="H237" s="62" t="n"/>
      <c r="K237">
        <f>IF($C237="","",IF(COUNTIF($C$3:$C237,$C237)=1,$C237,""))</f>
        <v/>
      </c>
      <c r="L237">
        <f>IF($K237="","",$M237+ROW()/10000000)</f>
        <v/>
      </c>
      <c r="M237">
        <f>IF($K237="","",SUMIF($C$3:$C$1002,$K237,$G$3:$G$1002))</f>
        <v/>
      </c>
      <c r="N237">
        <f>IF($K237="","",COUNTIF($C$3:$C$1002,$K237))</f>
        <v/>
      </c>
      <c r="P237">
        <f>IF($A237="","",$A237*100000+ROW())</f>
        <v/>
      </c>
    </row>
    <row r="238" ht="18" customHeight="1">
      <c r="A238" s="60" t="n"/>
      <c r="B238" s="61">
        <f>IF(A238="","",TEXT(A238,"mmm yyyy"))</f>
        <v/>
      </c>
      <c r="C238" s="62" t="n"/>
      <c r="D238" s="62" t="n"/>
      <c r="E238" s="62" t="n"/>
      <c r="F238" s="62" t="n"/>
      <c r="G238" s="63" t="n"/>
      <c r="H238" s="62" t="n"/>
      <c r="K238">
        <f>IF($C238="","",IF(COUNTIF($C$3:$C238,$C238)=1,$C238,""))</f>
        <v/>
      </c>
      <c r="L238">
        <f>IF($K238="","",$M238+ROW()/10000000)</f>
        <v/>
      </c>
      <c r="M238">
        <f>IF($K238="","",SUMIF($C$3:$C$1002,$K238,$G$3:$G$1002))</f>
        <v/>
      </c>
      <c r="N238">
        <f>IF($K238="","",COUNTIF($C$3:$C$1002,$K238))</f>
        <v/>
      </c>
      <c r="P238">
        <f>IF($A238="","",$A238*100000+ROW())</f>
        <v/>
      </c>
    </row>
    <row r="239" ht="18" customHeight="1">
      <c r="A239" s="60" t="n"/>
      <c r="B239" s="61">
        <f>IF(A239="","",TEXT(A239,"mmm yyyy"))</f>
        <v/>
      </c>
      <c r="C239" s="62" t="n"/>
      <c r="D239" s="62" t="n"/>
      <c r="E239" s="62" t="n"/>
      <c r="F239" s="62" t="n"/>
      <c r="G239" s="63" t="n"/>
      <c r="H239" s="62" t="n"/>
      <c r="K239">
        <f>IF($C239="","",IF(COUNTIF($C$3:$C239,$C239)=1,$C239,""))</f>
        <v/>
      </c>
      <c r="L239">
        <f>IF($K239="","",$M239+ROW()/10000000)</f>
        <v/>
      </c>
      <c r="M239">
        <f>IF($K239="","",SUMIF($C$3:$C$1002,$K239,$G$3:$G$1002))</f>
        <v/>
      </c>
      <c r="N239">
        <f>IF($K239="","",COUNTIF($C$3:$C$1002,$K239))</f>
        <v/>
      </c>
      <c r="P239">
        <f>IF($A239="","",$A239*100000+ROW())</f>
        <v/>
      </c>
    </row>
    <row r="240" ht="18" customHeight="1">
      <c r="A240" s="60" t="n"/>
      <c r="B240" s="61">
        <f>IF(A240="","",TEXT(A240,"mmm yyyy"))</f>
        <v/>
      </c>
      <c r="C240" s="62" t="n"/>
      <c r="D240" s="62" t="n"/>
      <c r="E240" s="62" t="n"/>
      <c r="F240" s="62" t="n"/>
      <c r="G240" s="63" t="n"/>
      <c r="H240" s="62" t="n"/>
      <c r="K240">
        <f>IF($C240="","",IF(COUNTIF($C$3:$C240,$C240)=1,$C240,""))</f>
        <v/>
      </c>
      <c r="L240">
        <f>IF($K240="","",$M240+ROW()/10000000)</f>
        <v/>
      </c>
      <c r="M240">
        <f>IF($K240="","",SUMIF($C$3:$C$1002,$K240,$G$3:$G$1002))</f>
        <v/>
      </c>
      <c r="N240">
        <f>IF($K240="","",COUNTIF($C$3:$C$1002,$K240))</f>
        <v/>
      </c>
      <c r="P240">
        <f>IF($A240="","",$A240*100000+ROW())</f>
        <v/>
      </c>
    </row>
    <row r="241" ht="18" customHeight="1">
      <c r="A241" s="60" t="n"/>
      <c r="B241" s="61">
        <f>IF(A241="","",TEXT(A241,"mmm yyyy"))</f>
        <v/>
      </c>
      <c r="C241" s="62" t="n"/>
      <c r="D241" s="62" t="n"/>
      <c r="E241" s="62" t="n"/>
      <c r="F241" s="62" t="n"/>
      <c r="G241" s="63" t="n"/>
      <c r="H241" s="62" t="n"/>
      <c r="K241">
        <f>IF($C241="","",IF(COUNTIF($C$3:$C241,$C241)=1,$C241,""))</f>
        <v/>
      </c>
      <c r="L241">
        <f>IF($K241="","",$M241+ROW()/10000000)</f>
        <v/>
      </c>
      <c r="M241">
        <f>IF($K241="","",SUMIF($C$3:$C$1002,$K241,$G$3:$G$1002))</f>
        <v/>
      </c>
      <c r="N241">
        <f>IF($K241="","",COUNTIF($C$3:$C$1002,$K241))</f>
        <v/>
      </c>
      <c r="P241">
        <f>IF($A241="","",$A241*100000+ROW())</f>
        <v/>
      </c>
    </row>
    <row r="242" ht="18" customHeight="1">
      <c r="A242" s="60" t="n"/>
      <c r="B242" s="61">
        <f>IF(A242="","",TEXT(A242,"mmm yyyy"))</f>
        <v/>
      </c>
      <c r="C242" s="62" t="n"/>
      <c r="D242" s="62" t="n"/>
      <c r="E242" s="62" t="n"/>
      <c r="F242" s="62" t="n"/>
      <c r="G242" s="63" t="n"/>
      <c r="H242" s="62" t="n"/>
      <c r="K242">
        <f>IF($C242="","",IF(COUNTIF($C$3:$C242,$C242)=1,$C242,""))</f>
        <v/>
      </c>
      <c r="L242">
        <f>IF($K242="","",$M242+ROW()/10000000)</f>
        <v/>
      </c>
      <c r="M242">
        <f>IF($K242="","",SUMIF($C$3:$C$1002,$K242,$G$3:$G$1002))</f>
        <v/>
      </c>
      <c r="N242">
        <f>IF($K242="","",COUNTIF($C$3:$C$1002,$K242))</f>
        <v/>
      </c>
      <c r="P242">
        <f>IF($A242="","",$A242*100000+ROW())</f>
        <v/>
      </c>
    </row>
    <row r="243" ht="18" customHeight="1">
      <c r="A243" s="60" t="n"/>
      <c r="B243" s="61">
        <f>IF(A243="","",TEXT(A243,"mmm yyyy"))</f>
        <v/>
      </c>
      <c r="C243" s="62" t="n"/>
      <c r="D243" s="62" t="n"/>
      <c r="E243" s="62" t="n"/>
      <c r="F243" s="62" t="n"/>
      <c r="G243" s="63" t="n"/>
      <c r="H243" s="62" t="n"/>
      <c r="K243">
        <f>IF($C243="","",IF(COUNTIF($C$3:$C243,$C243)=1,$C243,""))</f>
        <v/>
      </c>
      <c r="L243">
        <f>IF($K243="","",$M243+ROW()/10000000)</f>
        <v/>
      </c>
      <c r="M243">
        <f>IF($K243="","",SUMIF($C$3:$C$1002,$K243,$G$3:$G$1002))</f>
        <v/>
      </c>
      <c r="N243">
        <f>IF($K243="","",COUNTIF($C$3:$C$1002,$K243))</f>
        <v/>
      </c>
      <c r="P243">
        <f>IF($A243="","",$A243*100000+ROW())</f>
        <v/>
      </c>
    </row>
    <row r="244" ht="18" customHeight="1">
      <c r="A244" s="60" t="n"/>
      <c r="B244" s="61">
        <f>IF(A244="","",TEXT(A244,"mmm yyyy"))</f>
        <v/>
      </c>
      <c r="C244" s="62" t="n"/>
      <c r="D244" s="62" t="n"/>
      <c r="E244" s="62" t="n"/>
      <c r="F244" s="62" t="n"/>
      <c r="G244" s="63" t="n"/>
      <c r="H244" s="62" t="n"/>
      <c r="K244">
        <f>IF($C244="","",IF(COUNTIF($C$3:$C244,$C244)=1,$C244,""))</f>
        <v/>
      </c>
      <c r="L244">
        <f>IF($K244="","",$M244+ROW()/10000000)</f>
        <v/>
      </c>
      <c r="M244">
        <f>IF($K244="","",SUMIF($C$3:$C$1002,$K244,$G$3:$G$1002))</f>
        <v/>
      </c>
      <c r="N244">
        <f>IF($K244="","",COUNTIF($C$3:$C$1002,$K244))</f>
        <v/>
      </c>
      <c r="P244">
        <f>IF($A244="","",$A244*100000+ROW())</f>
        <v/>
      </c>
    </row>
    <row r="245" ht="18" customHeight="1">
      <c r="A245" s="60" t="n"/>
      <c r="B245" s="61">
        <f>IF(A245="","",TEXT(A245,"mmm yyyy"))</f>
        <v/>
      </c>
      <c r="C245" s="62" t="n"/>
      <c r="D245" s="62" t="n"/>
      <c r="E245" s="62" t="n"/>
      <c r="F245" s="62" t="n"/>
      <c r="G245" s="63" t="n"/>
      <c r="H245" s="62" t="n"/>
      <c r="K245">
        <f>IF($C245="","",IF(COUNTIF($C$3:$C245,$C245)=1,$C245,""))</f>
        <v/>
      </c>
      <c r="L245">
        <f>IF($K245="","",$M245+ROW()/10000000)</f>
        <v/>
      </c>
      <c r="M245">
        <f>IF($K245="","",SUMIF($C$3:$C$1002,$K245,$G$3:$G$1002))</f>
        <v/>
      </c>
      <c r="N245">
        <f>IF($K245="","",COUNTIF($C$3:$C$1002,$K245))</f>
        <v/>
      </c>
      <c r="P245">
        <f>IF($A245="","",$A245*100000+ROW())</f>
        <v/>
      </c>
    </row>
    <row r="246" ht="18" customHeight="1">
      <c r="A246" s="60" t="n"/>
      <c r="B246" s="61">
        <f>IF(A246="","",TEXT(A246,"mmm yyyy"))</f>
        <v/>
      </c>
      <c r="C246" s="62" t="n"/>
      <c r="D246" s="62" t="n"/>
      <c r="E246" s="62" t="n"/>
      <c r="F246" s="62" t="n"/>
      <c r="G246" s="63" t="n"/>
      <c r="H246" s="62" t="n"/>
      <c r="K246">
        <f>IF($C246="","",IF(COUNTIF($C$3:$C246,$C246)=1,$C246,""))</f>
        <v/>
      </c>
      <c r="L246">
        <f>IF($K246="","",$M246+ROW()/10000000)</f>
        <v/>
      </c>
      <c r="M246">
        <f>IF($K246="","",SUMIF($C$3:$C$1002,$K246,$G$3:$G$1002))</f>
        <v/>
      </c>
      <c r="N246">
        <f>IF($K246="","",COUNTIF($C$3:$C$1002,$K246))</f>
        <v/>
      </c>
      <c r="P246">
        <f>IF($A246="","",$A246*100000+ROW())</f>
        <v/>
      </c>
    </row>
    <row r="247" ht="18" customHeight="1">
      <c r="A247" s="60" t="n"/>
      <c r="B247" s="61">
        <f>IF(A247="","",TEXT(A247,"mmm yyyy"))</f>
        <v/>
      </c>
      <c r="C247" s="62" t="n"/>
      <c r="D247" s="62" t="n"/>
      <c r="E247" s="62" t="n"/>
      <c r="F247" s="62" t="n"/>
      <c r="G247" s="63" t="n"/>
      <c r="H247" s="62" t="n"/>
      <c r="K247">
        <f>IF($C247="","",IF(COUNTIF($C$3:$C247,$C247)=1,$C247,""))</f>
        <v/>
      </c>
      <c r="L247">
        <f>IF($K247="","",$M247+ROW()/10000000)</f>
        <v/>
      </c>
      <c r="M247">
        <f>IF($K247="","",SUMIF($C$3:$C$1002,$K247,$G$3:$G$1002))</f>
        <v/>
      </c>
      <c r="N247">
        <f>IF($K247="","",COUNTIF($C$3:$C$1002,$K247))</f>
        <v/>
      </c>
      <c r="P247">
        <f>IF($A247="","",$A247*100000+ROW())</f>
        <v/>
      </c>
    </row>
    <row r="248" ht="18" customHeight="1">
      <c r="A248" s="60" t="n"/>
      <c r="B248" s="61">
        <f>IF(A248="","",TEXT(A248,"mmm yyyy"))</f>
        <v/>
      </c>
      <c r="C248" s="62" t="n"/>
      <c r="D248" s="62" t="n"/>
      <c r="E248" s="62" t="n"/>
      <c r="F248" s="62" t="n"/>
      <c r="G248" s="63" t="n"/>
      <c r="H248" s="62" t="n"/>
      <c r="K248">
        <f>IF($C248="","",IF(COUNTIF($C$3:$C248,$C248)=1,$C248,""))</f>
        <v/>
      </c>
      <c r="L248">
        <f>IF($K248="","",$M248+ROW()/10000000)</f>
        <v/>
      </c>
      <c r="M248">
        <f>IF($K248="","",SUMIF($C$3:$C$1002,$K248,$G$3:$G$1002))</f>
        <v/>
      </c>
      <c r="N248">
        <f>IF($K248="","",COUNTIF($C$3:$C$1002,$K248))</f>
        <v/>
      </c>
      <c r="P248">
        <f>IF($A248="","",$A248*100000+ROW())</f>
        <v/>
      </c>
    </row>
    <row r="249" ht="18" customHeight="1">
      <c r="A249" s="60" t="n"/>
      <c r="B249" s="61">
        <f>IF(A249="","",TEXT(A249,"mmm yyyy"))</f>
        <v/>
      </c>
      <c r="C249" s="62" t="n"/>
      <c r="D249" s="62" t="n"/>
      <c r="E249" s="62" t="n"/>
      <c r="F249" s="62" t="n"/>
      <c r="G249" s="63" t="n"/>
      <c r="H249" s="62" t="n"/>
      <c r="K249">
        <f>IF($C249="","",IF(COUNTIF($C$3:$C249,$C249)=1,$C249,""))</f>
        <v/>
      </c>
      <c r="L249">
        <f>IF($K249="","",$M249+ROW()/10000000)</f>
        <v/>
      </c>
      <c r="M249">
        <f>IF($K249="","",SUMIF($C$3:$C$1002,$K249,$G$3:$G$1002))</f>
        <v/>
      </c>
      <c r="N249">
        <f>IF($K249="","",COUNTIF($C$3:$C$1002,$K249))</f>
        <v/>
      </c>
      <c r="P249">
        <f>IF($A249="","",$A249*100000+ROW())</f>
        <v/>
      </c>
    </row>
    <row r="250" ht="18" customHeight="1">
      <c r="A250" s="60" t="n"/>
      <c r="B250" s="61">
        <f>IF(A250="","",TEXT(A250,"mmm yyyy"))</f>
        <v/>
      </c>
      <c r="C250" s="62" t="n"/>
      <c r="D250" s="62" t="n"/>
      <c r="E250" s="62" t="n"/>
      <c r="F250" s="62" t="n"/>
      <c r="G250" s="63" t="n"/>
      <c r="H250" s="62" t="n"/>
      <c r="K250">
        <f>IF($C250="","",IF(COUNTIF($C$3:$C250,$C250)=1,$C250,""))</f>
        <v/>
      </c>
      <c r="L250">
        <f>IF($K250="","",$M250+ROW()/10000000)</f>
        <v/>
      </c>
      <c r="M250">
        <f>IF($K250="","",SUMIF($C$3:$C$1002,$K250,$G$3:$G$1002))</f>
        <v/>
      </c>
      <c r="N250">
        <f>IF($K250="","",COUNTIF($C$3:$C$1002,$K250))</f>
        <v/>
      </c>
      <c r="P250">
        <f>IF($A250="","",$A250*100000+ROW())</f>
        <v/>
      </c>
    </row>
    <row r="251" ht="18" customHeight="1">
      <c r="A251" s="60" t="n"/>
      <c r="B251" s="61">
        <f>IF(A251="","",TEXT(A251,"mmm yyyy"))</f>
        <v/>
      </c>
      <c r="C251" s="62" t="n"/>
      <c r="D251" s="62" t="n"/>
      <c r="E251" s="62" t="n"/>
      <c r="F251" s="62" t="n"/>
      <c r="G251" s="63" t="n"/>
      <c r="H251" s="62" t="n"/>
      <c r="K251">
        <f>IF($C251="","",IF(COUNTIF($C$3:$C251,$C251)=1,$C251,""))</f>
        <v/>
      </c>
      <c r="L251">
        <f>IF($K251="","",$M251+ROW()/10000000)</f>
        <v/>
      </c>
      <c r="M251">
        <f>IF($K251="","",SUMIF($C$3:$C$1002,$K251,$G$3:$G$1002))</f>
        <v/>
      </c>
      <c r="N251">
        <f>IF($K251="","",COUNTIF($C$3:$C$1002,$K251))</f>
        <v/>
      </c>
      <c r="P251">
        <f>IF($A251="","",$A251*100000+ROW())</f>
        <v/>
      </c>
    </row>
    <row r="252" ht="18" customHeight="1">
      <c r="A252" s="60" t="n"/>
      <c r="B252" s="61">
        <f>IF(A252="","",TEXT(A252,"mmm yyyy"))</f>
        <v/>
      </c>
      <c r="C252" s="62" t="n"/>
      <c r="D252" s="62" t="n"/>
      <c r="E252" s="62" t="n"/>
      <c r="F252" s="62" t="n"/>
      <c r="G252" s="63" t="n"/>
      <c r="H252" s="62" t="n"/>
      <c r="K252">
        <f>IF($C252="","",IF(COUNTIF($C$3:$C252,$C252)=1,$C252,""))</f>
        <v/>
      </c>
      <c r="L252">
        <f>IF($K252="","",$M252+ROW()/10000000)</f>
        <v/>
      </c>
      <c r="M252">
        <f>IF($K252="","",SUMIF($C$3:$C$1002,$K252,$G$3:$G$1002))</f>
        <v/>
      </c>
      <c r="N252">
        <f>IF($K252="","",COUNTIF($C$3:$C$1002,$K252))</f>
        <v/>
      </c>
      <c r="P252">
        <f>IF($A252="","",$A252*100000+ROW())</f>
        <v/>
      </c>
    </row>
    <row r="253" ht="18" customHeight="1">
      <c r="A253" s="60" t="n"/>
      <c r="B253" s="61">
        <f>IF(A253="","",TEXT(A253,"mmm yyyy"))</f>
        <v/>
      </c>
      <c r="C253" s="62" t="n"/>
      <c r="D253" s="62" t="n"/>
      <c r="E253" s="62" t="n"/>
      <c r="F253" s="62" t="n"/>
      <c r="G253" s="63" t="n"/>
      <c r="H253" s="62" t="n"/>
      <c r="K253">
        <f>IF($C253="","",IF(COUNTIF($C$3:$C253,$C253)=1,$C253,""))</f>
        <v/>
      </c>
      <c r="L253">
        <f>IF($K253="","",$M253+ROW()/10000000)</f>
        <v/>
      </c>
      <c r="M253">
        <f>IF($K253="","",SUMIF($C$3:$C$1002,$K253,$G$3:$G$1002))</f>
        <v/>
      </c>
      <c r="N253">
        <f>IF($K253="","",COUNTIF($C$3:$C$1002,$K253))</f>
        <v/>
      </c>
      <c r="P253">
        <f>IF($A253="","",$A253*100000+ROW())</f>
        <v/>
      </c>
    </row>
    <row r="254" ht="18" customHeight="1">
      <c r="A254" s="60" t="n"/>
      <c r="B254" s="61">
        <f>IF(A254="","",TEXT(A254,"mmm yyyy"))</f>
        <v/>
      </c>
      <c r="C254" s="62" t="n"/>
      <c r="D254" s="62" t="n"/>
      <c r="E254" s="62" t="n"/>
      <c r="F254" s="62" t="n"/>
      <c r="G254" s="63" t="n"/>
      <c r="H254" s="62" t="n"/>
      <c r="K254">
        <f>IF($C254="","",IF(COUNTIF($C$3:$C254,$C254)=1,$C254,""))</f>
        <v/>
      </c>
      <c r="L254">
        <f>IF($K254="","",$M254+ROW()/10000000)</f>
        <v/>
      </c>
      <c r="M254">
        <f>IF($K254="","",SUMIF($C$3:$C$1002,$K254,$G$3:$G$1002))</f>
        <v/>
      </c>
      <c r="N254">
        <f>IF($K254="","",COUNTIF($C$3:$C$1002,$K254))</f>
        <v/>
      </c>
      <c r="P254">
        <f>IF($A254="","",$A254*100000+ROW())</f>
        <v/>
      </c>
    </row>
    <row r="255" ht="18" customHeight="1">
      <c r="A255" s="60" t="n"/>
      <c r="B255" s="61">
        <f>IF(A255="","",TEXT(A255,"mmm yyyy"))</f>
        <v/>
      </c>
      <c r="C255" s="62" t="n"/>
      <c r="D255" s="62" t="n"/>
      <c r="E255" s="62" t="n"/>
      <c r="F255" s="62" t="n"/>
      <c r="G255" s="63" t="n"/>
      <c r="H255" s="62" t="n"/>
      <c r="K255">
        <f>IF($C255="","",IF(COUNTIF($C$3:$C255,$C255)=1,$C255,""))</f>
        <v/>
      </c>
      <c r="L255">
        <f>IF($K255="","",$M255+ROW()/10000000)</f>
        <v/>
      </c>
      <c r="M255">
        <f>IF($K255="","",SUMIF($C$3:$C$1002,$K255,$G$3:$G$1002))</f>
        <v/>
      </c>
      <c r="N255">
        <f>IF($K255="","",COUNTIF($C$3:$C$1002,$K255))</f>
        <v/>
      </c>
      <c r="P255">
        <f>IF($A255="","",$A255*100000+ROW())</f>
        <v/>
      </c>
    </row>
    <row r="256" ht="18" customHeight="1">
      <c r="A256" s="60" t="n"/>
      <c r="B256" s="61">
        <f>IF(A256="","",TEXT(A256,"mmm yyyy"))</f>
        <v/>
      </c>
      <c r="C256" s="62" t="n"/>
      <c r="D256" s="62" t="n"/>
      <c r="E256" s="62" t="n"/>
      <c r="F256" s="62" t="n"/>
      <c r="G256" s="63" t="n"/>
      <c r="H256" s="62" t="n"/>
      <c r="K256">
        <f>IF($C256="","",IF(COUNTIF($C$3:$C256,$C256)=1,$C256,""))</f>
        <v/>
      </c>
      <c r="L256">
        <f>IF($K256="","",$M256+ROW()/10000000)</f>
        <v/>
      </c>
      <c r="M256">
        <f>IF($K256="","",SUMIF($C$3:$C$1002,$K256,$G$3:$G$1002))</f>
        <v/>
      </c>
      <c r="N256">
        <f>IF($K256="","",COUNTIF($C$3:$C$1002,$K256))</f>
        <v/>
      </c>
      <c r="P256">
        <f>IF($A256="","",$A256*100000+ROW())</f>
        <v/>
      </c>
    </row>
    <row r="257" ht="18" customHeight="1">
      <c r="A257" s="60" t="n"/>
      <c r="B257" s="61">
        <f>IF(A257="","",TEXT(A257,"mmm yyyy"))</f>
        <v/>
      </c>
      <c r="C257" s="62" t="n"/>
      <c r="D257" s="62" t="n"/>
      <c r="E257" s="62" t="n"/>
      <c r="F257" s="62" t="n"/>
      <c r="G257" s="63" t="n"/>
      <c r="H257" s="62" t="n"/>
      <c r="K257">
        <f>IF($C257="","",IF(COUNTIF($C$3:$C257,$C257)=1,$C257,""))</f>
        <v/>
      </c>
      <c r="L257">
        <f>IF($K257="","",$M257+ROW()/10000000)</f>
        <v/>
      </c>
      <c r="M257">
        <f>IF($K257="","",SUMIF($C$3:$C$1002,$K257,$G$3:$G$1002))</f>
        <v/>
      </c>
      <c r="N257">
        <f>IF($K257="","",COUNTIF($C$3:$C$1002,$K257))</f>
        <v/>
      </c>
      <c r="P257">
        <f>IF($A257="","",$A257*100000+ROW())</f>
        <v/>
      </c>
    </row>
    <row r="258" ht="18" customHeight="1">
      <c r="A258" s="60" t="n"/>
      <c r="B258" s="61">
        <f>IF(A258="","",TEXT(A258,"mmm yyyy"))</f>
        <v/>
      </c>
      <c r="C258" s="62" t="n"/>
      <c r="D258" s="62" t="n"/>
      <c r="E258" s="62" t="n"/>
      <c r="F258" s="62" t="n"/>
      <c r="G258" s="63" t="n"/>
      <c r="H258" s="62" t="n"/>
      <c r="K258">
        <f>IF($C258="","",IF(COUNTIF($C$3:$C258,$C258)=1,$C258,""))</f>
        <v/>
      </c>
      <c r="L258">
        <f>IF($K258="","",$M258+ROW()/10000000)</f>
        <v/>
      </c>
      <c r="M258">
        <f>IF($K258="","",SUMIF($C$3:$C$1002,$K258,$G$3:$G$1002))</f>
        <v/>
      </c>
      <c r="N258">
        <f>IF($K258="","",COUNTIF($C$3:$C$1002,$K258))</f>
        <v/>
      </c>
      <c r="P258">
        <f>IF($A258="","",$A258*100000+ROW())</f>
        <v/>
      </c>
    </row>
    <row r="259" ht="18" customHeight="1">
      <c r="A259" s="60" t="n"/>
      <c r="B259" s="61">
        <f>IF(A259="","",TEXT(A259,"mmm yyyy"))</f>
        <v/>
      </c>
      <c r="C259" s="62" t="n"/>
      <c r="D259" s="62" t="n"/>
      <c r="E259" s="62" t="n"/>
      <c r="F259" s="62" t="n"/>
      <c r="G259" s="63" t="n"/>
      <c r="H259" s="62" t="n"/>
      <c r="K259">
        <f>IF($C259="","",IF(COUNTIF($C$3:$C259,$C259)=1,$C259,""))</f>
        <v/>
      </c>
      <c r="L259">
        <f>IF($K259="","",$M259+ROW()/10000000)</f>
        <v/>
      </c>
      <c r="M259">
        <f>IF($K259="","",SUMIF($C$3:$C$1002,$K259,$G$3:$G$1002))</f>
        <v/>
      </c>
      <c r="N259">
        <f>IF($K259="","",COUNTIF($C$3:$C$1002,$K259))</f>
        <v/>
      </c>
      <c r="P259">
        <f>IF($A259="","",$A259*100000+ROW())</f>
        <v/>
      </c>
    </row>
    <row r="260" ht="18" customHeight="1">
      <c r="A260" s="60" t="n"/>
      <c r="B260" s="61">
        <f>IF(A260="","",TEXT(A260,"mmm yyyy"))</f>
        <v/>
      </c>
      <c r="C260" s="62" t="n"/>
      <c r="D260" s="62" t="n"/>
      <c r="E260" s="62" t="n"/>
      <c r="F260" s="62" t="n"/>
      <c r="G260" s="63" t="n"/>
      <c r="H260" s="62" t="n"/>
      <c r="K260">
        <f>IF($C260="","",IF(COUNTIF($C$3:$C260,$C260)=1,$C260,""))</f>
        <v/>
      </c>
      <c r="L260">
        <f>IF($K260="","",$M260+ROW()/10000000)</f>
        <v/>
      </c>
      <c r="M260">
        <f>IF($K260="","",SUMIF($C$3:$C$1002,$K260,$G$3:$G$1002))</f>
        <v/>
      </c>
      <c r="N260">
        <f>IF($K260="","",COUNTIF($C$3:$C$1002,$K260))</f>
        <v/>
      </c>
      <c r="P260">
        <f>IF($A260="","",$A260*100000+ROW())</f>
        <v/>
      </c>
    </row>
    <row r="261" ht="18" customHeight="1">
      <c r="A261" s="60" t="n"/>
      <c r="B261" s="61">
        <f>IF(A261="","",TEXT(A261,"mmm yyyy"))</f>
        <v/>
      </c>
      <c r="C261" s="62" t="n"/>
      <c r="D261" s="62" t="n"/>
      <c r="E261" s="62" t="n"/>
      <c r="F261" s="62" t="n"/>
      <c r="G261" s="63" t="n"/>
      <c r="H261" s="62" t="n"/>
      <c r="K261">
        <f>IF($C261="","",IF(COUNTIF($C$3:$C261,$C261)=1,$C261,""))</f>
        <v/>
      </c>
      <c r="L261">
        <f>IF($K261="","",$M261+ROW()/10000000)</f>
        <v/>
      </c>
      <c r="M261">
        <f>IF($K261="","",SUMIF($C$3:$C$1002,$K261,$G$3:$G$1002))</f>
        <v/>
      </c>
      <c r="N261">
        <f>IF($K261="","",COUNTIF($C$3:$C$1002,$K261))</f>
        <v/>
      </c>
      <c r="P261">
        <f>IF($A261="","",$A261*100000+ROW())</f>
        <v/>
      </c>
    </row>
    <row r="262" ht="18" customHeight="1">
      <c r="A262" s="60" t="n"/>
      <c r="B262" s="61">
        <f>IF(A262="","",TEXT(A262,"mmm yyyy"))</f>
        <v/>
      </c>
      <c r="C262" s="62" t="n"/>
      <c r="D262" s="62" t="n"/>
      <c r="E262" s="62" t="n"/>
      <c r="F262" s="62" t="n"/>
      <c r="G262" s="63" t="n"/>
      <c r="H262" s="62" t="n"/>
      <c r="K262">
        <f>IF($C262="","",IF(COUNTIF($C$3:$C262,$C262)=1,$C262,""))</f>
        <v/>
      </c>
      <c r="L262">
        <f>IF($K262="","",$M262+ROW()/10000000)</f>
        <v/>
      </c>
      <c r="M262">
        <f>IF($K262="","",SUMIF($C$3:$C$1002,$K262,$G$3:$G$1002))</f>
        <v/>
      </c>
      <c r="N262">
        <f>IF($K262="","",COUNTIF($C$3:$C$1002,$K262))</f>
        <v/>
      </c>
      <c r="P262">
        <f>IF($A262="","",$A262*100000+ROW())</f>
        <v/>
      </c>
    </row>
    <row r="263" ht="18" customHeight="1">
      <c r="A263" s="60" t="n"/>
      <c r="B263" s="61">
        <f>IF(A263="","",TEXT(A263,"mmm yyyy"))</f>
        <v/>
      </c>
      <c r="C263" s="62" t="n"/>
      <c r="D263" s="62" t="n"/>
      <c r="E263" s="62" t="n"/>
      <c r="F263" s="62" t="n"/>
      <c r="G263" s="63" t="n"/>
      <c r="H263" s="62" t="n"/>
      <c r="K263">
        <f>IF($C263="","",IF(COUNTIF($C$3:$C263,$C263)=1,$C263,""))</f>
        <v/>
      </c>
      <c r="L263">
        <f>IF($K263="","",$M263+ROW()/10000000)</f>
        <v/>
      </c>
      <c r="M263">
        <f>IF($K263="","",SUMIF($C$3:$C$1002,$K263,$G$3:$G$1002))</f>
        <v/>
      </c>
      <c r="N263">
        <f>IF($K263="","",COUNTIF($C$3:$C$1002,$K263))</f>
        <v/>
      </c>
      <c r="P263">
        <f>IF($A263="","",$A263*100000+ROW())</f>
        <v/>
      </c>
    </row>
    <row r="264" ht="18" customHeight="1">
      <c r="A264" s="60" t="n"/>
      <c r="B264" s="61">
        <f>IF(A264="","",TEXT(A264,"mmm yyyy"))</f>
        <v/>
      </c>
      <c r="C264" s="62" t="n"/>
      <c r="D264" s="62" t="n"/>
      <c r="E264" s="62" t="n"/>
      <c r="F264" s="62" t="n"/>
      <c r="G264" s="63" t="n"/>
      <c r="H264" s="62" t="n"/>
      <c r="K264">
        <f>IF($C264="","",IF(COUNTIF($C$3:$C264,$C264)=1,$C264,""))</f>
        <v/>
      </c>
      <c r="L264">
        <f>IF($K264="","",$M264+ROW()/10000000)</f>
        <v/>
      </c>
      <c r="M264">
        <f>IF($K264="","",SUMIF($C$3:$C$1002,$K264,$G$3:$G$1002))</f>
        <v/>
      </c>
      <c r="N264">
        <f>IF($K264="","",COUNTIF($C$3:$C$1002,$K264))</f>
        <v/>
      </c>
      <c r="P264">
        <f>IF($A264="","",$A264*100000+ROW())</f>
        <v/>
      </c>
    </row>
    <row r="265" ht="18" customHeight="1">
      <c r="A265" s="60" t="n"/>
      <c r="B265" s="61">
        <f>IF(A265="","",TEXT(A265,"mmm yyyy"))</f>
        <v/>
      </c>
      <c r="C265" s="62" t="n"/>
      <c r="D265" s="62" t="n"/>
      <c r="E265" s="62" t="n"/>
      <c r="F265" s="62" t="n"/>
      <c r="G265" s="63" t="n"/>
      <c r="H265" s="62" t="n"/>
      <c r="K265">
        <f>IF($C265="","",IF(COUNTIF($C$3:$C265,$C265)=1,$C265,""))</f>
        <v/>
      </c>
      <c r="L265">
        <f>IF($K265="","",$M265+ROW()/10000000)</f>
        <v/>
      </c>
      <c r="M265">
        <f>IF($K265="","",SUMIF($C$3:$C$1002,$K265,$G$3:$G$1002))</f>
        <v/>
      </c>
      <c r="N265">
        <f>IF($K265="","",COUNTIF($C$3:$C$1002,$K265))</f>
        <v/>
      </c>
      <c r="P265">
        <f>IF($A265="","",$A265*100000+ROW())</f>
        <v/>
      </c>
    </row>
    <row r="266" ht="18" customHeight="1">
      <c r="A266" s="60" t="n"/>
      <c r="B266" s="61">
        <f>IF(A266="","",TEXT(A266,"mmm yyyy"))</f>
        <v/>
      </c>
      <c r="C266" s="62" t="n"/>
      <c r="D266" s="62" t="n"/>
      <c r="E266" s="62" t="n"/>
      <c r="F266" s="62" t="n"/>
      <c r="G266" s="63" t="n"/>
      <c r="H266" s="62" t="n"/>
      <c r="K266">
        <f>IF($C266="","",IF(COUNTIF($C$3:$C266,$C266)=1,$C266,""))</f>
        <v/>
      </c>
      <c r="L266">
        <f>IF($K266="","",$M266+ROW()/10000000)</f>
        <v/>
      </c>
      <c r="M266">
        <f>IF($K266="","",SUMIF($C$3:$C$1002,$K266,$G$3:$G$1002))</f>
        <v/>
      </c>
      <c r="N266">
        <f>IF($K266="","",COUNTIF($C$3:$C$1002,$K266))</f>
        <v/>
      </c>
      <c r="P266">
        <f>IF($A266="","",$A266*100000+ROW())</f>
        <v/>
      </c>
    </row>
    <row r="267" ht="18" customHeight="1">
      <c r="A267" s="60" t="n"/>
      <c r="B267" s="61">
        <f>IF(A267="","",TEXT(A267,"mmm yyyy"))</f>
        <v/>
      </c>
      <c r="C267" s="62" t="n"/>
      <c r="D267" s="62" t="n"/>
      <c r="E267" s="62" t="n"/>
      <c r="F267" s="62" t="n"/>
      <c r="G267" s="63" t="n"/>
      <c r="H267" s="62" t="n"/>
      <c r="K267">
        <f>IF($C267="","",IF(COUNTIF($C$3:$C267,$C267)=1,$C267,""))</f>
        <v/>
      </c>
      <c r="L267">
        <f>IF($K267="","",$M267+ROW()/10000000)</f>
        <v/>
      </c>
      <c r="M267">
        <f>IF($K267="","",SUMIF($C$3:$C$1002,$K267,$G$3:$G$1002))</f>
        <v/>
      </c>
      <c r="N267">
        <f>IF($K267="","",COUNTIF($C$3:$C$1002,$K267))</f>
        <v/>
      </c>
      <c r="P267">
        <f>IF($A267="","",$A267*100000+ROW())</f>
        <v/>
      </c>
    </row>
    <row r="268" ht="18" customHeight="1">
      <c r="A268" s="60" t="n"/>
      <c r="B268" s="61">
        <f>IF(A268="","",TEXT(A268,"mmm yyyy"))</f>
        <v/>
      </c>
      <c r="C268" s="62" t="n"/>
      <c r="D268" s="62" t="n"/>
      <c r="E268" s="62" t="n"/>
      <c r="F268" s="62" t="n"/>
      <c r="G268" s="63" t="n"/>
      <c r="H268" s="62" t="n"/>
      <c r="K268">
        <f>IF($C268="","",IF(COUNTIF($C$3:$C268,$C268)=1,$C268,""))</f>
        <v/>
      </c>
      <c r="L268">
        <f>IF($K268="","",$M268+ROW()/10000000)</f>
        <v/>
      </c>
      <c r="M268">
        <f>IF($K268="","",SUMIF($C$3:$C$1002,$K268,$G$3:$G$1002))</f>
        <v/>
      </c>
      <c r="N268">
        <f>IF($K268="","",COUNTIF($C$3:$C$1002,$K268))</f>
        <v/>
      </c>
      <c r="P268">
        <f>IF($A268="","",$A268*100000+ROW())</f>
        <v/>
      </c>
    </row>
    <row r="269" ht="18" customHeight="1">
      <c r="A269" s="60" t="n"/>
      <c r="B269" s="61">
        <f>IF(A269="","",TEXT(A269,"mmm yyyy"))</f>
        <v/>
      </c>
      <c r="C269" s="62" t="n"/>
      <c r="D269" s="62" t="n"/>
      <c r="E269" s="62" t="n"/>
      <c r="F269" s="62" t="n"/>
      <c r="G269" s="63" t="n"/>
      <c r="H269" s="62" t="n"/>
      <c r="K269">
        <f>IF($C269="","",IF(COUNTIF($C$3:$C269,$C269)=1,$C269,""))</f>
        <v/>
      </c>
      <c r="L269">
        <f>IF($K269="","",$M269+ROW()/10000000)</f>
        <v/>
      </c>
      <c r="M269">
        <f>IF($K269="","",SUMIF($C$3:$C$1002,$K269,$G$3:$G$1002))</f>
        <v/>
      </c>
      <c r="N269">
        <f>IF($K269="","",COUNTIF($C$3:$C$1002,$K269))</f>
        <v/>
      </c>
      <c r="P269">
        <f>IF($A269="","",$A269*100000+ROW())</f>
        <v/>
      </c>
    </row>
    <row r="270" ht="18" customHeight="1">
      <c r="A270" s="60" t="n"/>
      <c r="B270" s="61">
        <f>IF(A270="","",TEXT(A270,"mmm yyyy"))</f>
        <v/>
      </c>
      <c r="C270" s="62" t="n"/>
      <c r="D270" s="62" t="n"/>
      <c r="E270" s="62" t="n"/>
      <c r="F270" s="62" t="n"/>
      <c r="G270" s="63" t="n"/>
      <c r="H270" s="62" t="n"/>
      <c r="K270">
        <f>IF($C270="","",IF(COUNTIF($C$3:$C270,$C270)=1,$C270,""))</f>
        <v/>
      </c>
      <c r="L270">
        <f>IF($K270="","",$M270+ROW()/10000000)</f>
        <v/>
      </c>
      <c r="M270">
        <f>IF($K270="","",SUMIF($C$3:$C$1002,$K270,$G$3:$G$1002))</f>
        <v/>
      </c>
      <c r="N270">
        <f>IF($K270="","",COUNTIF($C$3:$C$1002,$K270))</f>
        <v/>
      </c>
      <c r="P270">
        <f>IF($A270="","",$A270*100000+ROW())</f>
        <v/>
      </c>
    </row>
    <row r="271" ht="18" customHeight="1">
      <c r="A271" s="60" t="n"/>
      <c r="B271" s="61">
        <f>IF(A271="","",TEXT(A271,"mmm yyyy"))</f>
        <v/>
      </c>
      <c r="C271" s="62" t="n"/>
      <c r="D271" s="62" t="n"/>
      <c r="E271" s="62" t="n"/>
      <c r="F271" s="62" t="n"/>
      <c r="G271" s="63" t="n"/>
      <c r="H271" s="62" t="n"/>
      <c r="K271">
        <f>IF($C271="","",IF(COUNTIF($C$3:$C271,$C271)=1,$C271,""))</f>
        <v/>
      </c>
      <c r="L271">
        <f>IF($K271="","",$M271+ROW()/10000000)</f>
        <v/>
      </c>
      <c r="M271">
        <f>IF($K271="","",SUMIF($C$3:$C$1002,$K271,$G$3:$G$1002))</f>
        <v/>
      </c>
      <c r="N271">
        <f>IF($K271="","",COUNTIF($C$3:$C$1002,$K271))</f>
        <v/>
      </c>
      <c r="P271">
        <f>IF($A271="","",$A271*100000+ROW())</f>
        <v/>
      </c>
    </row>
    <row r="272" ht="18" customHeight="1">
      <c r="A272" s="60" t="n"/>
      <c r="B272" s="61">
        <f>IF(A272="","",TEXT(A272,"mmm yyyy"))</f>
        <v/>
      </c>
      <c r="C272" s="62" t="n"/>
      <c r="D272" s="62" t="n"/>
      <c r="E272" s="62" t="n"/>
      <c r="F272" s="62" t="n"/>
      <c r="G272" s="63" t="n"/>
      <c r="H272" s="62" t="n"/>
      <c r="K272">
        <f>IF($C272="","",IF(COUNTIF($C$3:$C272,$C272)=1,$C272,""))</f>
        <v/>
      </c>
      <c r="L272">
        <f>IF($K272="","",$M272+ROW()/10000000)</f>
        <v/>
      </c>
      <c r="M272">
        <f>IF($K272="","",SUMIF($C$3:$C$1002,$K272,$G$3:$G$1002))</f>
        <v/>
      </c>
      <c r="N272">
        <f>IF($K272="","",COUNTIF($C$3:$C$1002,$K272))</f>
        <v/>
      </c>
      <c r="P272">
        <f>IF($A272="","",$A272*100000+ROW())</f>
        <v/>
      </c>
    </row>
    <row r="273" ht="18" customHeight="1">
      <c r="A273" s="60" t="n"/>
      <c r="B273" s="61">
        <f>IF(A273="","",TEXT(A273,"mmm yyyy"))</f>
        <v/>
      </c>
      <c r="C273" s="62" t="n"/>
      <c r="D273" s="62" t="n"/>
      <c r="E273" s="62" t="n"/>
      <c r="F273" s="62" t="n"/>
      <c r="G273" s="63" t="n"/>
      <c r="H273" s="62" t="n"/>
      <c r="K273">
        <f>IF($C273="","",IF(COUNTIF($C$3:$C273,$C273)=1,$C273,""))</f>
        <v/>
      </c>
      <c r="L273">
        <f>IF($K273="","",$M273+ROW()/10000000)</f>
        <v/>
      </c>
      <c r="M273">
        <f>IF($K273="","",SUMIF($C$3:$C$1002,$K273,$G$3:$G$1002))</f>
        <v/>
      </c>
      <c r="N273">
        <f>IF($K273="","",COUNTIF($C$3:$C$1002,$K273))</f>
        <v/>
      </c>
      <c r="P273">
        <f>IF($A273="","",$A273*100000+ROW())</f>
        <v/>
      </c>
    </row>
    <row r="274" ht="18" customHeight="1">
      <c r="A274" s="60" t="n"/>
      <c r="B274" s="61">
        <f>IF(A274="","",TEXT(A274,"mmm yyyy"))</f>
        <v/>
      </c>
      <c r="C274" s="62" t="n"/>
      <c r="D274" s="62" t="n"/>
      <c r="E274" s="62" t="n"/>
      <c r="F274" s="62" t="n"/>
      <c r="G274" s="63" t="n"/>
      <c r="H274" s="62" t="n"/>
      <c r="K274">
        <f>IF($C274="","",IF(COUNTIF($C$3:$C274,$C274)=1,$C274,""))</f>
        <v/>
      </c>
      <c r="L274">
        <f>IF($K274="","",$M274+ROW()/10000000)</f>
        <v/>
      </c>
      <c r="M274">
        <f>IF($K274="","",SUMIF($C$3:$C$1002,$K274,$G$3:$G$1002))</f>
        <v/>
      </c>
      <c r="N274">
        <f>IF($K274="","",COUNTIF($C$3:$C$1002,$K274))</f>
        <v/>
      </c>
      <c r="P274">
        <f>IF($A274="","",$A274*100000+ROW())</f>
        <v/>
      </c>
    </row>
    <row r="275" ht="18" customHeight="1">
      <c r="A275" s="60" t="n"/>
      <c r="B275" s="61">
        <f>IF(A275="","",TEXT(A275,"mmm yyyy"))</f>
        <v/>
      </c>
      <c r="C275" s="62" t="n"/>
      <c r="D275" s="62" t="n"/>
      <c r="E275" s="62" t="n"/>
      <c r="F275" s="62" t="n"/>
      <c r="G275" s="63" t="n"/>
      <c r="H275" s="62" t="n"/>
      <c r="K275">
        <f>IF($C275="","",IF(COUNTIF($C$3:$C275,$C275)=1,$C275,""))</f>
        <v/>
      </c>
      <c r="L275">
        <f>IF($K275="","",$M275+ROW()/10000000)</f>
        <v/>
      </c>
      <c r="M275">
        <f>IF($K275="","",SUMIF($C$3:$C$1002,$K275,$G$3:$G$1002))</f>
        <v/>
      </c>
      <c r="N275">
        <f>IF($K275="","",COUNTIF($C$3:$C$1002,$K275))</f>
        <v/>
      </c>
      <c r="P275">
        <f>IF($A275="","",$A275*100000+ROW())</f>
        <v/>
      </c>
    </row>
    <row r="276" ht="18" customHeight="1">
      <c r="A276" s="60" t="n"/>
      <c r="B276" s="61">
        <f>IF(A276="","",TEXT(A276,"mmm yyyy"))</f>
        <v/>
      </c>
      <c r="C276" s="62" t="n"/>
      <c r="D276" s="62" t="n"/>
      <c r="E276" s="62" t="n"/>
      <c r="F276" s="62" t="n"/>
      <c r="G276" s="63" t="n"/>
      <c r="H276" s="62" t="n"/>
      <c r="K276">
        <f>IF($C276="","",IF(COUNTIF($C$3:$C276,$C276)=1,$C276,""))</f>
        <v/>
      </c>
      <c r="L276">
        <f>IF($K276="","",$M276+ROW()/10000000)</f>
        <v/>
      </c>
      <c r="M276">
        <f>IF($K276="","",SUMIF($C$3:$C$1002,$K276,$G$3:$G$1002))</f>
        <v/>
      </c>
      <c r="N276">
        <f>IF($K276="","",COUNTIF($C$3:$C$1002,$K276))</f>
        <v/>
      </c>
      <c r="P276">
        <f>IF($A276="","",$A276*100000+ROW())</f>
        <v/>
      </c>
    </row>
    <row r="277" ht="18" customHeight="1">
      <c r="A277" s="60" t="n"/>
      <c r="B277" s="61">
        <f>IF(A277="","",TEXT(A277,"mmm yyyy"))</f>
        <v/>
      </c>
      <c r="C277" s="62" t="n"/>
      <c r="D277" s="62" t="n"/>
      <c r="E277" s="62" t="n"/>
      <c r="F277" s="62" t="n"/>
      <c r="G277" s="63" t="n"/>
      <c r="H277" s="62" t="n"/>
      <c r="K277">
        <f>IF($C277="","",IF(COUNTIF($C$3:$C277,$C277)=1,$C277,""))</f>
        <v/>
      </c>
      <c r="L277">
        <f>IF($K277="","",$M277+ROW()/10000000)</f>
        <v/>
      </c>
      <c r="M277">
        <f>IF($K277="","",SUMIF($C$3:$C$1002,$K277,$G$3:$G$1002))</f>
        <v/>
      </c>
      <c r="N277">
        <f>IF($K277="","",COUNTIF($C$3:$C$1002,$K277))</f>
        <v/>
      </c>
      <c r="P277">
        <f>IF($A277="","",$A277*100000+ROW())</f>
        <v/>
      </c>
    </row>
    <row r="278" ht="18" customHeight="1">
      <c r="A278" s="60" t="n"/>
      <c r="B278" s="61">
        <f>IF(A278="","",TEXT(A278,"mmm yyyy"))</f>
        <v/>
      </c>
      <c r="C278" s="62" t="n"/>
      <c r="D278" s="62" t="n"/>
      <c r="E278" s="62" t="n"/>
      <c r="F278" s="62" t="n"/>
      <c r="G278" s="63" t="n"/>
      <c r="H278" s="62" t="n"/>
      <c r="K278">
        <f>IF($C278="","",IF(COUNTIF($C$3:$C278,$C278)=1,$C278,""))</f>
        <v/>
      </c>
      <c r="L278">
        <f>IF($K278="","",$M278+ROW()/10000000)</f>
        <v/>
      </c>
      <c r="M278">
        <f>IF($K278="","",SUMIF($C$3:$C$1002,$K278,$G$3:$G$1002))</f>
        <v/>
      </c>
      <c r="N278">
        <f>IF($K278="","",COUNTIF($C$3:$C$1002,$K278))</f>
        <v/>
      </c>
      <c r="P278">
        <f>IF($A278="","",$A278*100000+ROW())</f>
        <v/>
      </c>
    </row>
    <row r="279" ht="18" customHeight="1">
      <c r="A279" s="60" t="n"/>
      <c r="B279" s="61">
        <f>IF(A279="","",TEXT(A279,"mmm yyyy"))</f>
        <v/>
      </c>
      <c r="C279" s="62" t="n"/>
      <c r="D279" s="62" t="n"/>
      <c r="E279" s="62" t="n"/>
      <c r="F279" s="62" t="n"/>
      <c r="G279" s="63" t="n"/>
      <c r="H279" s="62" t="n"/>
      <c r="K279">
        <f>IF($C279="","",IF(COUNTIF($C$3:$C279,$C279)=1,$C279,""))</f>
        <v/>
      </c>
      <c r="L279">
        <f>IF($K279="","",$M279+ROW()/10000000)</f>
        <v/>
      </c>
      <c r="M279">
        <f>IF($K279="","",SUMIF($C$3:$C$1002,$K279,$G$3:$G$1002))</f>
        <v/>
      </c>
      <c r="N279">
        <f>IF($K279="","",COUNTIF($C$3:$C$1002,$K279))</f>
        <v/>
      </c>
      <c r="P279">
        <f>IF($A279="","",$A279*100000+ROW())</f>
        <v/>
      </c>
    </row>
    <row r="280" ht="18" customHeight="1">
      <c r="A280" s="60" t="n"/>
      <c r="B280" s="61">
        <f>IF(A280="","",TEXT(A280,"mmm yyyy"))</f>
        <v/>
      </c>
      <c r="C280" s="62" t="n"/>
      <c r="D280" s="62" t="n"/>
      <c r="E280" s="62" t="n"/>
      <c r="F280" s="62" t="n"/>
      <c r="G280" s="63" t="n"/>
      <c r="H280" s="62" t="n"/>
      <c r="K280">
        <f>IF($C280="","",IF(COUNTIF($C$3:$C280,$C280)=1,$C280,""))</f>
        <v/>
      </c>
      <c r="L280">
        <f>IF($K280="","",$M280+ROW()/10000000)</f>
        <v/>
      </c>
      <c r="M280">
        <f>IF($K280="","",SUMIF($C$3:$C$1002,$K280,$G$3:$G$1002))</f>
        <v/>
      </c>
      <c r="N280">
        <f>IF($K280="","",COUNTIF($C$3:$C$1002,$K280))</f>
        <v/>
      </c>
      <c r="P280">
        <f>IF($A280="","",$A280*100000+ROW())</f>
        <v/>
      </c>
    </row>
    <row r="281" ht="18" customHeight="1">
      <c r="A281" s="60" t="n"/>
      <c r="B281" s="61">
        <f>IF(A281="","",TEXT(A281,"mmm yyyy"))</f>
        <v/>
      </c>
      <c r="C281" s="62" t="n"/>
      <c r="D281" s="62" t="n"/>
      <c r="E281" s="62" t="n"/>
      <c r="F281" s="62" t="n"/>
      <c r="G281" s="63" t="n"/>
      <c r="H281" s="62" t="n"/>
      <c r="K281">
        <f>IF($C281="","",IF(COUNTIF($C$3:$C281,$C281)=1,$C281,""))</f>
        <v/>
      </c>
      <c r="L281">
        <f>IF($K281="","",$M281+ROW()/10000000)</f>
        <v/>
      </c>
      <c r="M281">
        <f>IF($K281="","",SUMIF($C$3:$C$1002,$K281,$G$3:$G$1002))</f>
        <v/>
      </c>
      <c r="N281">
        <f>IF($K281="","",COUNTIF($C$3:$C$1002,$K281))</f>
        <v/>
      </c>
      <c r="P281">
        <f>IF($A281="","",$A281*100000+ROW())</f>
        <v/>
      </c>
    </row>
    <row r="282" ht="18" customHeight="1">
      <c r="A282" s="60" t="n"/>
      <c r="B282" s="61">
        <f>IF(A282="","",TEXT(A282,"mmm yyyy"))</f>
        <v/>
      </c>
      <c r="C282" s="62" t="n"/>
      <c r="D282" s="62" t="n"/>
      <c r="E282" s="62" t="n"/>
      <c r="F282" s="62" t="n"/>
      <c r="G282" s="63" t="n"/>
      <c r="H282" s="62" t="n"/>
      <c r="K282">
        <f>IF($C282="","",IF(COUNTIF($C$3:$C282,$C282)=1,$C282,""))</f>
        <v/>
      </c>
      <c r="L282">
        <f>IF($K282="","",$M282+ROW()/10000000)</f>
        <v/>
      </c>
      <c r="M282">
        <f>IF($K282="","",SUMIF($C$3:$C$1002,$K282,$G$3:$G$1002))</f>
        <v/>
      </c>
      <c r="N282">
        <f>IF($K282="","",COUNTIF($C$3:$C$1002,$K282))</f>
        <v/>
      </c>
      <c r="P282">
        <f>IF($A282="","",$A282*100000+ROW())</f>
        <v/>
      </c>
    </row>
    <row r="283" ht="18" customHeight="1">
      <c r="A283" s="60" t="n"/>
      <c r="B283" s="61">
        <f>IF(A283="","",TEXT(A283,"mmm yyyy"))</f>
        <v/>
      </c>
      <c r="C283" s="62" t="n"/>
      <c r="D283" s="62" t="n"/>
      <c r="E283" s="62" t="n"/>
      <c r="F283" s="62" t="n"/>
      <c r="G283" s="63" t="n"/>
      <c r="H283" s="62" t="n"/>
      <c r="K283">
        <f>IF($C283="","",IF(COUNTIF($C$3:$C283,$C283)=1,$C283,""))</f>
        <v/>
      </c>
      <c r="L283">
        <f>IF($K283="","",$M283+ROW()/10000000)</f>
        <v/>
      </c>
      <c r="M283">
        <f>IF($K283="","",SUMIF($C$3:$C$1002,$K283,$G$3:$G$1002))</f>
        <v/>
      </c>
      <c r="N283">
        <f>IF($K283="","",COUNTIF($C$3:$C$1002,$K283))</f>
        <v/>
      </c>
      <c r="P283">
        <f>IF($A283="","",$A283*100000+ROW())</f>
        <v/>
      </c>
    </row>
    <row r="284" ht="18" customHeight="1">
      <c r="A284" s="60" t="n"/>
      <c r="B284" s="61">
        <f>IF(A284="","",TEXT(A284,"mmm yyyy"))</f>
        <v/>
      </c>
      <c r="C284" s="62" t="n"/>
      <c r="D284" s="62" t="n"/>
      <c r="E284" s="62" t="n"/>
      <c r="F284" s="62" t="n"/>
      <c r="G284" s="63" t="n"/>
      <c r="H284" s="62" t="n"/>
      <c r="K284">
        <f>IF($C284="","",IF(COUNTIF($C$3:$C284,$C284)=1,$C284,""))</f>
        <v/>
      </c>
      <c r="L284">
        <f>IF($K284="","",$M284+ROW()/10000000)</f>
        <v/>
      </c>
      <c r="M284">
        <f>IF($K284="","",SUMIF($C$3:$C$1002,$K284,$G$3:$G$1002))</f>
        <v/>
      </c>
      <c r="N284">
        <f>IF($K284="","",COUNTIF($C$3:$C$1002,$K284))</f>
        <v/>
      </c>
      <c r="P284">
        <f>IF($A284="","",$A284*100000+ROW())</f>
        <v/>
      </c>
    </row>
    <row r="285" ht="18" customHeight="1">
      <c r="A285" s="60" t="n"/>
      <c r="B285" s="61">
        <f>IF(A285="","",TEXT(A285,"mmm yyyy"))</f>
        <v/>
      </c>
      <c r="C285" s="62" t="n"/>
      <c r="D285" s="62" t="n"/>
      <c r="E285" s="62" t="n"/>
      <c r="F285" s="62" t="n"/>
      <c r="G285" s="63" t="n"/>
      <c r="H285" s="62" t="n"/>
      <c r="K285">
        <f>IF($C285="","",IF(COUNTIF($C$3:$C285,$C285)=1,$C285,""))</f>
        <v/>
      </c>
      <c r="L285">
        <f>IF($K285="","",$M285+ROW()/10000000)</f>
        <v/>
      </c>
      <c r="M285">
        <f>IF($K285="","",SUMIF($C$3:$C$1002,$K285,$G$3:$G$1002))</f>
        <v/>
      </c>
      <c r="N285">
        <f>IF($K285="","",COUNTIF($C$3:$C$1002,$K285))</f>
        <v/>
      </c>
      <c r="P285">
        <f>IF($A285="","",$A285*100000+ROW())</f>
        <v/>
      </c>
    </row>
    <row r="286" ht="18" customHeight="1">
      <c r="A286" s="60" t="n"/>
      <c r="B286" s="61">
        <f>IF(A286="","",TEXT(A286,"mmm yyyy"))</f>
        <v/>
      </c>
      <c r="C286" s="62" t="n"/>
      <c r="D286" s="62" t="n"/>
      <c r="E286" s="62" t="n"/>
      <c r="F286" s="62" t="n"/>
      <c r="G286" s="63" t="n"/>
      <c r="H286" s="62" t="n"/>
      <c r="K286">
        <f>IF($C286="","",IF(COUNTIF($C$3:$C286,$C286)=1,$C286,""))</f>
        <v/>
      </c>
      <c r="L286">
        <f>IF($K286="","",$M286+ROW()/10000000)</f>
        <v/>
      </c>
      <c r="M286">
        <f>IF($K286="","",SUMIF($C$3:$C$1002,$K286,$G$3:$G$1002))</f>
        <v/>
      </c>
      <c r="N286">
        <f>IF($K286="","",COUNTIF($C$3:$C$1002,$K286))</f>
        <v/>
      </c>
      <c r="P286">
        <f>IF($A286="","",$A286*100000+ROW())</f>
        <v/>
      </c>
    </row>
    <row r="287" ht="18" customHeight="1">
      <c r="A287" s="60" t="n"/>
      <c r="B287" s="61">
        <f>IF(A287="","",TEXT(A287,"mmm yyyy"))</f>
        <v/>
      </c>
      <c r="C287" s="62" t="n"/>
      <c r="D287" s="62" t="n"/>
      <c r="E287" s="62" t="n"/>
      <c r="F287" s="62" t="n"/>
      <c r="G287" s="63" t="n"/>
      <c r="H287" s="62" t="n"/>
      <c r="K287">
        <f>IF($C287="","",IF(COUNTIF($C$3:$C287,$C287)=1,$C287,""))</f>
        <v/>
      </c>
      <c r="L287">
        <f>IF($K287="","",$M287+ROW()/10000000)</f>
        <v/>
      </c>
      <c r="M287">
        <f>IF($K287="","",SUMIF($C$3:$C$1002,$K287,$G$3:$G$1002))</f>
        <v/>
      </c>
      <c r="N287">
        <f>IF($K287="","",COUNTIF($C$3:$C$1002,$K287))</f>
        <v/>
      </c>
      <c r="P287">
        <f>IF($A287="","",$A287*100000+ROW())</f>
        <v/>
      </c>
    </row>
    <row r="288" ht="18" customHeight="1">
      <c r="A288" s="60" t="n"/>
      <c r="B288" s="61">
        <f>IF(A288="","",TEXT(A288,"mmm yyyy"))</f>
        <v/>
      </c>
      <c r="C288" s="62" t="n"/>
      <c r="D288" s="62" t="n"/>
      <c r="E288" s="62" t="n"/>
      <c r="F288" s="62" t="n"/>
      <c r="G288" s="63" t="n"/>
      <c r="H288" s="62" t="n"/>
      <c r="K288">
        <f>IF($C288="","",IF(COUNTIF($C$3:$C288,$C288)=1,$C288,""))</f>
        <v/>
      </c>
      <c r="L288">
        <f>IF($K288="","",$M288+ROW()/10000000)</f>
        <v/>
      </c>
      <c r="M288">
        <f>IF($K288="","",SUMIF($C$3:$C$1002,$K288,$G$3:$G$1002))</f>
        <v/>
      </c>
      <c r="N288">
        <f>IF($K288="","",COUNTIF($C$3:$C$1002,$K288))</f>
        <v/>
      </c>
      <c r="P288">
        <f>IF($A288="","",$A288*100000+ROW())</f>
        <v/>
      </c>
    </row>
    <row r="289" ht="18" customHeight="1">
      <c r="A289" s="60" t="n"/>
      <c r="B289" s="61">
        <f>IF(A289="","",TEXT(A289,"mmm yyyy"))</f>
        <v/>
      </c>
      <c r="C289" s="62" t="n"/>
      <c r="D289" s="62" t="n"/>
      <c r="E289" s="62" t="n"/>
      <c r="F289" s="62" t="n"/>
      <c r="G289" s="63" t="n"/>
      <c r="H289" s="62" t="n"/>
      <c r="K289">
        <f>IF($C289="","",IF(COUNTIF($C$3:$C289,$C289)=1,$C289,""))</f>
        <v/>
      </c>
      <c r="L289">
        <f>IF($K289="","",$M289+ROW()/10000000)</f>
        <v/>
      </c>
      <c r="M289">
        <f>IF($K289="","",SUMIF($C$3:$C$1002,$K289,$G$3:$G$1002))</f>
        <v/>
      </c>
      <c r="N289">
        <f>IF($K289="","",COUNTIF($C$3:$C$1002,$K289))</f>
        <v/>
      </c>
      <c r="P289">
        <f>IF($A289="","",$A289*100000+ROW())</f>
        <v/>
      </c>
    </row>
    <row r="290" ht="18" customHeight="1">
      <c r="A290" s="60" t="n"/>
      <c r="B290" s="61">
        <f>IF(A290="","",TEXT(A290,"mmm yyyy"))</f>
        <v/>
      </c>
      <c r="C290" s="62" t="n"/>
      <c r="D290" s="62" t="n"/>
      <c r="E290" s="62" t="n"/>
      <c r="F290" s="62" t="n"/>
      <c r="G290" s="63" t="n"/>
      <c r="H290" s="62" t="n"/>
      <c r="K290">
        <f>IF($C290="","",IF(COUNTIF($C$3:$C290,$C290)=1,$C290,""))</f>
        <v/>
      </c>
      <c r="L290">
        <f>IF($K290="","",$M290+ROW()/10000000)</f>
        <v/>
      </c>
      <c r="M290">
        <f>IF($K290="","",SUMIF($C$3:$C$1002,$K290,$G$3:$G$1002))</f>
        <v/>
      </c>
      <c r="N290">
        <f>IF($K290="","",COUNTIF($C$3:$C$1002,$K290))</f>
        <v/>
      </c>
      <c r="P290">
        <f>IF($A290="","",$A290*100000+ROW())</f>
        <v/>
      </c>
    </row>
    <row r="291" ht="18" customHeight="1">
      <c r="A291" s="60" t="n"/>
      <c r="B291" s="61">
        <f>IF(A291="","",TEXT(A291,"mmm yyyy"))</f>
        <v/>
      </c>
      <c r="C291" s="62" t="n"/>
      <c r="D291" s="62" t="n"/>
      <c r="E291" s="62" t="n"/>
      <c r="F291" s="62" t="n"/>
      <c r="G291" s="63" t="n"/>
      <c r="H291" s="62" t="n"/>
      <c r="K291">
        <f>IF($C291="","",IF(COUNTIF($C$3:$C291,$C291)=1,$C291,""))</f>
        <v/>
      </c>
      <c r="L291">
        <f>IF($K291="","",$M291+ROW()/10000000)</f>
        <v/>
      </c>
      <c r="M291">
        <f>IF($K291="","",SUMIF($C$3:$C$1002,$K291,$G$3:$G$1002))</f>
        <v/>
      </c>
      <c r="N291">
        <f>IF($K291="","",COUNTIF($C$3:$C$1002,$K291))</f>
        <v/>
      </c>
      <c r="P291">
        <f>IF($A291="","",$A291*100000+ROW())</f>
        <v/>
      </c>
    </row>
    <row r="292" ht="18" customHeight="1">
      <c r="A292" s="60" t="n"/>
      <c r="B292" s="61">
        <f>IF(A292="","",TEXT(A292,"mmm yyyy"))</f>
        <v/>
      </c>
      <c r="C292" s="62" t="n"/>
      <c r="D292" s="62" t="n"/>
      <c r="E292" s="62" t="n"/>
      <c r="F292" s="62" t="n"/>
      <c r="G292" s="63" t="n"/>
      <c r="H292" s="62" t="n"/>
      <c r="K292">
        <f>IF($C292="","",IF(COUNTIF($C$3:$C292,$C292)=1,$C292,""))</f>
        <v/>
      </c>
      <c r="L292">
        <f>IF($K292="","",$M292+ROW()/10000000)</f>
        <v/>
      </c>
      <c r="M292">
        <f>IF($K292="","",SUMIF($C$3:$C$1002,$K292,$G$3:$G$1002))</f>
        <v/>
      </c>
      <c r="N292">
        <f>IF($K292="","",COUNTIF($C$3:$C$1002,$K292))</f>
        <v/>
      </c>
      <c r="P292">
        <f>IF($A292="","",$A292*100000+ROW())</f>
        <v/>
      </c>
    </row>
    <row r="293" ht="18" customHeight="1">
      <c r="A293" s="60" t="n"/>
      <c r="B293" s="61">
        <f>IF(A293="","",TEXT(A293,"mmm yyyy"))</f>
        <v/>
      </c>
      <c r="C293" s="62" t="n"/>
      <c r="D293" s="62" t="n"/>
      <c r="E293" s="62" t="n"/>
      <c r="F293" s="62" t="n"/>
      <c r="G293" s="63" t="n"/>
      <c r="H293" s="62" t="n"/>
      <c r="K293">
        <f>IF($C293="","",IF(COUNTIF($C$3:$C293,$C293)=1,$C293,""))</f>
        <v/>
      </c>
      <c r="L293">
        <f>IF($K293="","",$M293+ROW()/10000000)</f>
        <v/>
      </c>
      <c r="M293">
        <f>IF($K293="","",SUMIF($C$3:$C$1002,$K293,$G$3:$G$1002))</f>
        <v/>
      </c>
      <c r="N293">
        <f>IF($K293="","",COUNTIF($C$3:$C$1002,$K293))</f>
        <v/>
      </c>
      <c r="P293">
        <f>IF($A293="","",$A293*100000+ROW())</f>
        <v/>
      </c>
    </row>
    <row r="294" ht="18" customHeight="1">
      <c r="A294" s="60" t="n"/>
      <c r="B294" s="61">
        <f>IF(A294="","",TEXT(A294,"mmm yyyy"))</f>
        <v/>
      </c>
      <c r="C294" s="62" t="n"/>
      <c r="D294" s="62" t="n"/>
      <c r="E294" s="62" t="n"/>
      <c r="F294" s="62" t="n"/>
      <c r="G294" s="63" t="n"/>
      <c r="H294" s="62" t="n"/>
      <c r="K294">
        <f>IF($C294="","",IF(COUNTIF($C$3:$C294,$C294)=1,$C294,""))</f>
        <v/>
      </c>
      <c r="L294">
        <f>IF($K294="","",$M294+ROW()/10000000)</f>
        <v/>
      </c>
      <c r="M294">
        <f>IF($K294="","",SUMIF($C$3:$C$1002,$K294,$G$3:$G$1002))</f>
        <v/>
      </c>
      <c r="N294">
        <f>IF($K294="","",COUNTIF($C$3:$C$1002,$K294))</f>
        <v/>
      </c>
      <c r="P294">
        <f>IF($A294="","",$A294*100000+ROW())</f>
        <v/>
      </c>
    </row>
    <row r="295" ht="18" customHeight="1">
      <c r="A295" s="60" t="n"/>
      <c r="B295" s="61">
        <f>IF(A295="","",TEXT(A295,"mmm yyyy"))</f>
        <v/>
      </c>
      <c r="C295" s="62" t="n"/>
      <c r="D295" s="62" t="n"/>
      <c r="E295" s="62" t="n"/>
      <c r="F295" s="62" t="n"/>
      <c r="G295" s="63" t="n"/>
      <c r="H295" s="62" t="n"/>
      <c r="K295">
        <f>IF($C295="","",IF(COUNTIF($C$3:$C295,$C295)=1,$C295,""))</f>
        <v/>
      </c>
      <c r="L295">
        <f>IF($K295="","",$M295+ROW()/10000000)</f>
        <v/>
      </c>
      <c r="M295">
        <f>IF($K295="","",SUMIF($C$3:$C$1002,$K295,$G$3:$G$1002))</f>
        <v/>
      </c>
      <c r="N295">
        <f>IF($K295="","",COUNTIF($C$3:$C$1002,$K295))</f>
        <v/>
      </c>
      <c r="P295">
        <f>IF($A295="","",$A295*100000+ROW())</f>
        <v/>
      </c>
    </row>
    <row r="296" ht="18" customHeight="1">
      <c r="A296" s="60" t="n"/>
      <c r="B296" s="61">
        <f>IF(A296="","",TEXT(A296,"mmm yyyy"))</f>
        <v/>
      </c>
      <c r="C296" s="62" t="n"/>
      <c r="D296" s="62" t="n"/>
      <c r="E296" s="62" t="n"/>
      <c r="F296" s="62" t="n"/>
      <c r="G296" s="63" t="n"/>
      <c r="H296" s="62" t="n"/>
      <c r="K296">
        <f>IF($C296="","",IF(COUNTIF($C$3:$C296,$C296)=1,$C296,""))</f>
        <v/>
      </c>
      <c r="L296">
        <f>IF($K296="","",$M296+ROW()/10000000)</f>
        <v/>
      </c>
      <c r="M296">
        <f>IF($K296="","",SUMIF($C$3:$C$1002,$K296,$G$3:$G$1002))</f>
        <v/>
      </c>
      <c r="N296">
        <f>IF($K296="","",COUNTIF($C$3:$C$1002,$K296))</f>
        <v/>
      </c>
      <c r="P296">
        <f>IF($A296="","",$A296*100000+ROW())</f>
        <v/>
      </c>
    </row>
    <row r="297" ht="18" customHeight="1">
      <c r="A297" s="60" t="n"/>
      <c r="B297" s="61">
        <f>IF(A297="","",TEXT(A297,"mmm yyyy"))</f>
        <v/>
      </c>
      <c r="C297" s="62" t="n"/>
      <c r="D297" s="62" t="n"/>
      <c r="E297" s="62" t="n"/>
      <c r="F297" s="62" t="n"/>
      <c r="G297" s="63" t="n"/>
      <c r="H297" s="62" t="n"/>
      <c r="K297">
        <f>IF($C297="","",IF(COUNTIF($C$3:$C297,$C297)=1,$C297,""))</f>
        <v/>
      </c>
      <c r="L297">
        <f>IF($K297="","",$M297+ROW()/10000000)</f>
        <v/>
      </c>
      <c r="M297">
        <f>IF($K297="","",SUMIF($C$3:$C$1002,$K297,$G$3:$G$1002))</f>
        <v/>
      </c>
      <c r="N297">
        <f>IF($K297="","",COUNTIF($C$3:$C$1002,$K297))</f>
        <v/>
      </c>
      <c r="P297">
        <f>IF($A297="","",$A297*100000+ROW())</f>
        <v/>
      </c>
    </row>
    <row r="298" ht="18" customHeight="1">
      <c r="A298" s="60" t="n"/>
      <c r="B298" s="61">
        <f>IF(A298="","",TEXT(A298,"mmm yyyy"))</f>
        <v/>
      </c>
      <c r="C298" s="62" t="n"/>
      <c r="D298" s="62" t="n"/>
      <c r="E298" s="62" t="n"/>
      <c r="F298" s="62" t="n"/>
      <c r="G298" s="63" t="n"/>
      <c r="H298" s="62" t="n"/>
      <c r="K298">
        <f>IF($C298="","",IF(COUNTIF($C$3:$C298,$C298)=1,$C298,""))</f>
        <v/>
      </c>
      <c r="L298">
        <f>IF($K298="","",$M298+ROW()/10000000)</f>
        <v/>
      </c>
      <c r="M298">
        <f>IF($K298="","",SUMIF($C$3:$C$1002,$K298,$G$3:$G$1002))</f>
        <v/>
      </c>
      <c r="N298">
        <f>IF($K298="","",COUNTIF($C$3:$C$1002,$K298))</f>
        <v/>
      </c>
      <c r="P298">
        <f>IF($A298="","",$A298*100000+ROW())</f>
        <v/>
      </c>
    </row>
    <row r="299" ht="18" customHeight="1">
      <c r="A299" s="60" t="n"/>
      <c r="B299" s="61">
        <f>IF(A299="","",TEXT(A299,"mmm yyyy"))</f>
        <v/>
      </c>
      <c r="C299" s="62" t="n"/>
      <c r="D299" s="62" t="n"/>
      <c r="E299" s="62" t="n"/>
      <c r="F299" s="62" t="n"/>
      <c r="G299" s="63" t="n"/>
      <c r="H299" s="62" t="n"/>
      <c r="K299">
        <f>IF($C299="","",IF(COUNTIF($C$3:$C299,$C299)=1,$C299,""))</f>
        <v/>
      </c>
      <c r="L299">
        <f>IF($K299="","",$M299+ROW()/10000000)</f>
        <v/>
      </c>
      <c r="M299">
        <f>IF($K299="","",SUMIF($C$3:$C$1002,$K299,$G$3:$G$1002))</f>
        <v/>
      </c>
      <c r="N299">
        <f>IF($K299="","",COUNTIF($C$3:$C$1002,$K299))</f>
        <v/>
      </c>
      <c r="P299">
        <f>IF($A299="","",$A299*100000+ROW())</f>
        <v/>
      </c>
    </row>
    <row r="300" ht="18" customHeight="1">
      <c r="A300" s="60" t="n"/>
      <c r="B300" s="61">
        <f>IF(A300="","",TEXT(A300,"mmm yyyy"))</f>
        <v/>
      </c>
      <c r="C300" s="62" t="n"/>
      <c r="D300" s="62" t="n"/>
      <c r="E300" s="62" t="n"/>
      <c r="F300" s="62" t="n"/>
      <c r="G300" s="63" t="n"/>
      <c r="H300" s="62" t="n"/>
      <c r="K300">
        <f>IF($C300="","",IF(COUNTIF($C$3:$C300,$C300)=1,$C300,""))</f>
        <v/>
      </c>
      <c r="L300">
        <f>IF($K300="","",$M300+ROW()/10000000)</f>
        <v/>
      </c>
      <c r="M300">
        <f>IF($K300="","",SUMIF($C$3:$C$1002,$K300,$G$3:$G$1002))</f>
        <v/>
      </c>
      <c r="N300">
        <f>IF($K300="","",COUNTIF($C$3:$C$1002,$K300))</f>
        <v/>
      </c>
      <c r="P300">
        <f>IF($A300="","",$A300*100000+ROW())</f>
        <v/>
      </c>
    </row>
    <row r="301" ht="18" customHeight="1">
      <c r="A301" s="60" t="n"/>
      <c r="B301" s="61">
        <f>IF(A301="","",TEXT(A301,"mmm yyyy"))</f>
        <v/>
      </c>
      <c r="C301" s="62" t="n"/>
      <c r="D301" s="62" t="n"/>
      <c r="E301" s="62" t="n"/>
      <c r="F301" s="62" t="n"/>
      <c r="G301" s="63" t="n"/>
      <c r="H301" s="62" t="n"/>
      <c r="K301">
        <f>IF($C301="","",IF(COUNTIF($C$3:$C301,$C301)=1,$C301,""))</f>
        <v/>
      </c>
      <c r="L301">
        <f>IF($K301="","",$M301+ROW()/10000000)</f>
        <v/>
      </c>
      <c r="M301">
        <f>IF($K301="","",SUMIF($C$3:$C$1002,$K301,$G$3:$G$1002))</f>
        <v/>
      </c>
      <c r="N301">
        <f>IF($K301="","",COUNTIF($C$3:$C$1002,$K301))</f>
        <v/>
      </c>
      <c r="P301">
        <f>IF($A301="","",$A301*100000+ROW())</f>
        <v/>
      </c>
    </row>
    <row r="302" ht="18" customHeight="1">
      <c r="A302" s="60" t="n"/>
      <c r="B302" s="61">
        <f>IF(A302="","",TEXT(A302,"mmm yyyy"))</f>
        <v/>
      </c>
      <c r="C302" s="62" t="n"/>
      <c r="D302" s="62" t="n"/>
      <c r="E302" s="62" t="n"/>
      <c r="F302" s="62" t="n"/>
      <c r="G302" s="63" t="n"/>
      <c r="H302" s="62" t="n"/>
      <c r="K302">
        <f>IF($C302="","",IF(COUNTIF($C$3:$C302,$C302)=1,$C302,""))</f>
        <v/>
      </c>
      <c r="L302">
        <f>IF($K302="","",$M302+ROW()/10000000)</f>
        <v/>
      </c>
      <c r="M302">
        <f>IF($K302="","",SUMIF($C$3:$C$1002,$K302,$G$3:$G$1002))</f>
        <v/>
      </c>
      <c r="N302">
        <f>IF($K302="","",COUNTIF($C$3:$C$1002,$K302))</f>
        <v/>
      </c>
      <c r="P302">
        <f>IF($A302="","",$A302*100000+ROW())</f>
        <v/>
      </c>
    </row>
    <row r="303" ht="18" customHeight="1">
      <c r="A303" s="60" t="n"/>
      <c r="B303" s="61">
        <f>IF(A303="","",TEXT(A303,"mmm yyyy"))</f>
        <v/>
      </c>
      <c r="C303" s="62" t="n"/>
      <c r="D303" s="62" t="n"/>
      <c r="E303" s="62" t="n"/>
      <c r="F303" s="62" t="n"/>
      <c r="G303" s="63" t="n"/>
      <c r="H303" s="62" t="n"/>
      <c r="K303">
        <f>IF($C303="","",IF(COUNTIF($C$3:$C303,$C303)=1,$C303,""))</f>
        <v/>
      </c>
      <c r="L303">
        <f>IF($K303="","",$M303+ROW()/10000000)</f>
        <v/>
      </c>
      <c r="M303">
        <f>IF($K303="","",SUMIF($C$3:$C$1002,$K303,$G$3:$G$1002))</f>
        <v/>
      </c>
      <c r="N303">
        <f>IF($K303="","",COUNTIF($C$3:$C$1002,$K303))</f>
        <v/>
      </c>
      <c r="P303">
        <f>IF($A303="","",$A303*100000+ROW())</f>
        <v/>
      </c>
    </row>
    <row r="304" ht="18" customHeight="1">
      <c r="A304" s="60" t="n"/>
      <c r="B304" s="61">
        <f>IF(A304="","",TEXT(A304,"mmm yyyy"))</f>
        <v/>
      </c>
      <c r="C304" s="62" t="n"/>
      <c r="D304" s="62" t="n"/>
      <c r="E304" s="62" t="n"/>
      <c r="F304" s="62" t="n"/>
      <c r="G304" s="63" t="n"/>
      <c r="H304" s="62" t="n"/>
      <c r="K304">
        <f>IF($C304="","",IF(COUNTIF($C$3:$C304,$C304)=1,$C304,""))</f>
        <v/>
      </c>
      <c r="L304">
        <f>IF($K304="","",$M304+ROW()/10000000)</f>
        <v/>
      </c>
      <c r="M304">
        <f>IF($K304="","",SUMIF($C$3:$C$1002,$K304,$G$3:$G$1002))</f>
        <v/>
      </c>
      <c r="N304">
        <f>IF($K304="","",COUNTIF($C$3:$C$1002,$K304))</f>
        <v/>
      </c>
      <c r="P304">
        <f>IF($A304="","",$A304*100000+ROW())</f>
        <v/>
      </c>
    </row>
    <row r="305" ht="18" customHeight="1">
      <c r="A305" s="60" t="n"/>
      <c r="B305" s="61">
        <f>IF(A305="","",TEXT(A305,"mmm yyyy"))</f>
        <v/>
      </c>
      <c r="C305" s="62" t="n"/>
      <c r="D305" s="62" t="n"/>
      <c r="E305" s="62" t="n"/>
      <c r="F305" s="62" t="n"/>
      <c r="G305" s="63" t="n"/>
      <c r="H305" s="62" t="n"/>
      <c r="K305">
        <f>IF($C305="","",IF(COUNTIF($C$3:$C305,$C305)=1,$C305,""))</f>
        <v/>
      </c>
      <c r="L305">
        <f>IF($K305="","",$M305+ROW()/10000000)</f>
        <v/>
      </c>
      <c r="M305">
        <f>IF($K305="","",SUMIF($C$3:$C$1002,$K305,$G$3:$G$1002))</f>
        <v/>
      </c>
      <c r="N305">
        <f>IF($K305="","",COUNTIF($C$3:$C$1002,$K305))</f>
        <v/>
      </c>
      <c r="P305">
        <f>IF($A305="","",$A305*100000+ROW())</f>
        <v/>
      </c>
    </row>
    <row r="306" ht="18" customHeight="1">
      <c r="A306" s="60" t="n"/>
      <c r="B306" s="61">
        <f>IF(A306="","",TEXT(A306,"mmm yyyy"))</f>
        <v/>
      </c>
      <c r="C306" s="62" t="n"/>
      <c r="D306" s="62" t="n"/>
      <c r="E306" s="62" t="n"/>
      <c r="F306" s="62" t="n"/>
      <c r="G306" s="63" t="n"/>
      <c r="H306" s="62" t="n"/>
      <c r="K306">
        <f>IF($C306="","",IF(COUNTIF($C$3:$C306,$C306)=1,$C306,""))</f>
        <v/>
      </c>
      <c r="L306">
        <f>IF($K306="","",$M306+ROW()/10000000)</f>
        <v/>
      </c>
      <c r="M306">
        <f>IF($K306="","",SUMIF($C$3:$C$1002,$K306,$G$3:$G$1002))</f>
        <v/>
      </c>
      <c r="N306">
        <f>IF($K306="","",COUNTIF($C$3:$C$1002,$K306))</f>
        <v/>
      </c>
      <c r="P306">
        <f>IF($A306="","",$A306*100000+ROW())</f>
        <v/>
      </c>
    </row>
    <row r="307" ht="18" customHeight="1">
      <c r="A307" s="60" t="n"/>
      <c r="B307" s="61">
        <f>IF(A307="","",TEXT(A307,"mmm yyyy"))</f>
        <v/>
      </c>
      <c r="C307" s="62" t="n"/>
      <c r="D307" s="62" t="n"/>
      <c r="E307" s="62" t="n"/>
      <c r="F307" s="62" t="n"/>
      <c r="G307" s="63" t="n"/>
      <c r="H307" s="62" t="n"/>
      <c r="K307">
        <f>IF($C307="","",IF(COUNTIF($C$3:$C307,$C307)=1,$C307,""))</f>
        <v/>
      </c>
      <c r="L307">
        <f>IF($K307="","",$M307+ROW()/10000000)</f>
        <v/>
      </c>
      <c r="M307">
        <f>IF($K307="","",SUMIF($C$3:$C$1002,$K307,$G$3:$G$1002))</f>
        <v/>
      </c>
      <c r="N307">
        <f>IF($K307="","",COUNTIF($C$3:$C$1002,$K307))</f>
        <v/>
      </c>
      <c r="P307">
        <f>IF($A307="","",$A307*100000+ROW())</f>
        <v/>
      </c>
    </row>
    <row r="308" ht="18" customHeight="1">
      <c r="A308" s="60" t="n"/>
      <c r="B308" s="61">
        <f>IF(A308="","",TEXT(A308,"mmm yyyy"))</f>
        <v/>
      </c>
      <c r="C308" s="62" t="n"/>
      <c r="D308" s="62" t="n"/>
      <c r="E308" s="62" t="n"/>
      <c r="F308" s="62" t="n"/>
      <c r="G308" s="63" t="n"/>
      <c r="H308" s="62" t="n"/>
      <c r="K308">
        <f>IF($C308="","",IF(COUNTIF($C$3:$C308,$C308)=1,$C308,""))</f>
        <v/>
      </c>
      <c r="L308">
        <f>IF($K308="","",$M308+ROW()/10000000)</f>
        <v/>
      </c>
      <c r="M308">
        <f>IF($K308="","",SUMIF($C$3:$C$1002,$K308,$G$3:$G$1002))</f>
        <v/>
      </c>
      <c r="N308">
        <f>IF($K308="","",COUNTIF($C$3:$C$1002,$K308))</f>
        <v/>
      </c>
      <c r="P308">
        <f>IF($A308="","",$A308*100000+ROW())</f>
        <v/>
      </c>
    </row>
    <row r="309" ht="18" customHeight="1">
      <c r="A309" s="60" t="n"/>
      <c r="B309" s="61">
        <f>IF(A309="","",TEXT(A309,"mmm yyyy"))</f>
        <v/>
      </c>
      <c r="C309" s="62" t="n"/>
      <c r="D309" s="62" t="n"/>
      <c r="E309" s="62" t="n"/>
      <c r="F309" s="62" t="n"/>
      <c r="G309" s="63" t="n"/>
      <c r="H309" s="62" t="n"/>
      <c r="K309">
        <f>IF($C309="","",IF(COUNTIF($C$3:$C309,$C309)=1,$C309,""))</f>
        <v/>
      </c>
      <c r="L309">
        <f>IF($K309="","",$M309+ROW()/10000000)</f>
        <v/>
      </c>
      <c r="M309">
        <f>IF($K309="","",SUMIF($C$3:$C$1002,$K309,$G$3:$G$1002))</f>
        <v/>
      </c>
      <c r="N309">
        <f>IF($K309="","",COUNTIF($C$3:$C$1002,$K309))</f>
        <v/>
      </c>
      <c r="P309">
        <f>IF($A309="","",$A309*100000+ROW())</f>
        <v/>
      </c>
    </row>
    <row r="310" ht="18" customHeight="1">
      <c r="A310" s="60" t="n"/>
      <c r="B310" s="61">
        <f>IF(A310="","",TEXT(A310,"mmm yyyy"))</f>
        <v/>
      </c>
      <c r="C310" s="62" t="n"/>
      <c r="D310" s="62" t="n"/>
      <c r="E310" s="62" t="n"/>
      <c r="F310" s="62" t="n"/>
      <c r="G310" s="63" t="n"/>
      <c r="H310" s="62" t="n"/>
      <c r="K310">
        <f>IF($C310="","",IF(COUNTIF($C$3:$C310,$C310)=1,$C310,""))</f>
        <v/>
      </c>
      <c r="L310">
        <f>IF($K310="","",$M310+ROW()/10000000)</f>
        <v/>
      </c>
      <c r="M310">
        <f>IF($K310="","",SUMIF($C$3:$C$1002,$K310,$G$3:$G$1002))</f>
        <v/>
      </c>
      <c r="N310">
        <f>IF($K310="","",COUNTIF($C$3:$C$1002,$K310))</f>
        <v/>
      </c>
      <c r="P310">
        <f>IF($A310="","",$A310*100000+ROW())</f>
        <v/>
      </c>
    </row>
    <row r="311" ht="18" customHeight="1">
      <c r="A311" s="60" t="n"/>
      <c r="B311" s="61">
        <f>IF(A311="","",TEXT(A311,"mmm yyyy"))</f>
        <v/>
      </c>
      <c r="C311" s="62" t="n"/>
      <c r="D311" s="62" t="n"/>
      <c r="E311" s="62" t="n"/>
      <c r="F311" s="62" t="n"/>
      <c r="G311" s="63" t="n"/>
      <c r="H311" s="62" t="n"/>
      <c r="K311">
        <f>IF($C311="","",IF(COUNTIF($C$3:$C311,$C311)=1,$C311,""))</f>
        <v/>
      </c>
      <c r="L311">
        <f>IF($K311="","",$M311+ROW()/10000000)</f>
        <v/>
      </c>
      <c r="M311">
        <f>IF($K311="","",SUMIF($C$3:$C$1002,$K311,$G$3:$G$1002))</f>
        <v/>
      </c>
      <c r="N311">
        <f>IF($K311="","",COUNTIF($C$3:$C$1002,$K311))</f>
        <v/>
      </c>
      <c r="P311">
        <f>IF($A311="","",$A311*100000+ROW())</f>
        <v/>
      </c>
    </row>
    <row r="312" ht="18" customHeight="1">
      <c r="A312" s="60" t="n"/>
      <c r="B312" s="61">
        <f>IF(A312="","",TEXT(A312,"mmm yyyy"))</f>
        <v/>
      </c>
      <c r="C312" s="62" t="n"/>
      <c r="D312" s="62" t="n"/>
      <c r="E312" s="62" t="n"/>
      <c r="F312" s="62" t="n"/>
      <c r="G312" s="63" t="n"/>
      <c r="H312" s="62" t="n"/>
      <c r="K312">
        <f>IF($C312="","",IF(COUNTIF($C$3:$C312,$C312)=1,$C312,""))</f>
        <v/>
      </c>
      <c r="L312">
        <f>IF($K312="","",$M312+ROW()/10000000)</f>
        <v/>
      </c>
      <c r="M312">
        <f>IF($K312="","",SUMIF($C$3:$C$1002,$K312,$G$3:$G$1002))</f>
        <v/>
      </c>
      <c r="N312">
        <f>IF($K312="","",COUNTIF($C$3:$C$1002,$K312))</f>
        <v/>
      </c>
      <c r="P312">
        <f>IF($A312="","",$A312*100000+ROW())</f>
        <v/>
      </c>
    </row>
    <row r="313" ht="18" customHeight="1">
      <c r="A313" s="60" t="n"/>
      <c r="B313" s="61">
        <f>IF(A313="","",TEXT(A313,"mmm yyyy"))</f>
        <v/>
      </c>
      <c r="C313" s="62" t="n"/>
      <c r="D313" s="62" t="n"/>
      <c r="E313" s="62" t="n"/>
      <c r="F313" s="62" t="n"/>
      <c r="G313" s="63" t="n"/>
      <c r="H313" s="62" t="n"/>
      <c r="K313">
        <f>IF($C313="","",IF(COUNTIF($C$3:$C313,$C313)=1,$C313,""))</f>
        <v/>
      </c>
      <c r="L313">
        <f>IF($K313="","",$M313+ROW()/10000000)</f>
        <v/>
      </c>
      <c r="M313">
        <f>IF($K313="","",SUMIF($C$3:$C$1002,$K313,$G$3:$G$1002))</f>
        <v/>
      </c>
      <c r="N313">
        <f>IF($K313="","",COUNTIF($C$3:$C$1002,$K313))</f>
        <v/>
      </c>
      <c r="P313">
        <f>IF($A313="","",$A313*100000+ROW())</f>
        <v/>
      </c>
    </row>
    <row r="314" ht="18" customHeight="1">
      <c r="A314" s="60" t="n"/>
      <c r="B314" s="61">
        <f>IF(A314="","",TEXT(A314,"mmm yyyy"))</f>
        <v/>
      </c>
      <c r="C314" s="62" t="n"/>
      <c r="D314" s="62" t="n"/>
      <c r="E314" s="62" t="n"/>
      <c r="F314" s="62" t="n"/>
      <c r="G314" s="63" t="n"/>
      <c r="H314" s="62" t="n"/>
      <c r="K314">
        <f>IF($C314="","",IF(COUNTIF($C$3:$C314,$C314)=1,$C314,""))</f>
        <v/>
      </c>
      <c r="L314">
        <f>IF($K314="","",$M314+ROW()/10000000)</f>
        <v/>
      </c>
      <c r="M314">
        <f>IF($K314="","",SUMIF($C$3:$C$1002,$K314,$G$3:$G$1002))</f>
        <v/>
      </c>
      <c r="N314">
        <f>IF($K314="","",COUNTIF($C$3:$C$1002,$K314))</f>
        <v/>
      </c>
      <c r="P314">
        <f>IF($A314="","",$A314*100000+ROW())</f>
        <v/>
      </c>
    </row>
    <row r="315" ht="18" customHeight="1">
      <c r="A315" s="60" t="n"/>
      <c r="B315" s="61">
        <f>IF(A315="","",TEXT(A315,"mmm yyyy"))</f>
        <v/>
      </c>
      <c r="C315" s="62" t="n"/>
      <c r="D315" s="62" t="n"/>
      <c r="E315" s="62" t="n"/>
      <c r="F315" s="62" t="n"/>
      <c r="G315" s="63" t="n"/>
      <c r="H315" s="62" t="n"/>
      <c r="K315">
        <f>IF($C315="","",IF(COUNTIF($C$3:$C315,$C315)=1,$C315,""))</f>
        <v/>
      </c>
      <c r="L315">
        <f>IF($K315="","",$M315+ROW()/10000000)</f>
        <v/>
      </c>
      <c r="M315">
        <f>IF($K315="","",SUMIF($C$3:$C$1002,$K315,$G$3:$G$1002))</f>
        <v/>
      </c>
      <c r="N315">
        <f>IF($K315="","",COUNTIF($C$3:$C$1002,$K315))</f>
        <v/>
      </c>
      <c r="P315">
        <f>IF($A315="","",$A315*100000+ROW())</f>
        <v/>
      </c>
    </row>
    <row r="316" ht="18" customHeight="1">
      <c r="A316" s="60" t="n"/>
      <c r="B316" s="61">
        <f>IF(A316="","",TEXT(A316,"mmm yyyy"))</f>
        <v/>
      </c>
      <c r="C316" s="62" t="n"/>
      <c r="D316" s="62" t="n"/>
      <c r="E316" s="62" t="n"/>
      <c r="F316" s="62" t="n"/>
      <c r="G316" s="63" t="n"/>
      <c r="H316" s="62" t="n"/>
      <c r="K316">
        <f>IF($C316="","",IF(COUNTIF($C$3:$C316,$C316)=1,$C316,""))</f>
        <v/>
      </c>
      <c r="L316">
        <f>IF($K316="","",$M316+ROW()/10000000)</f>
        <v/>
      </c>
      <c r="M316">
        <f>IF($K316="","",SUMIF($C$3:$C$1002,$K316,$G$3:$G$1002))</f>
        <v/>
      </c>
      <c r="N316">
        <f>IF($K316="","",COUNTIF($C$3:$C$1002,$K316))</f>
        <v/>
      </c>
      <c r="P316">
        <f>IF($A316="","",$A316*100000+ROW())</f>
        <v/>
      </c>
    </row>
    <row r="317" ht="18" customHeight="1">
      <c r="A317" s="60" t="n"/>
      <c r="B317" s="61">
        <f>IF(A317="","",TEXT(A317,"mmm yyyy"))</f>
        <v/>
      </c>
      <c r="C317" s="62" t="n"/>
      <c r="D317" s="62" t="n"/>
      <c r="E317" s="62" t="n"/>
      <c r="F317" s="62" t="n"/>
      <c r="G317" s="63" t="n"/>
      <c r="H317" s="62" t="n"/>
      <c r="K317">
        <f>IF($C317="","",IF(COUNTIF($C$3:$C317,$C317)=1,$C317,""))</f>
        <v/>
      </c>
      <c r="L317">
        <f>IF($K317="","",$M317+ROW()/10000000)</f>
        <v/>
      </c>
      <c r="M317">
        <f>IF($K317="","",SUMIF($C$3:$C$1002,$K317,$G$3:$G$1002))</f>
        <v/>
      </c>
      <c r="N317">
        <f>IF($K317="","",COUNTIF($C$3:$C$1002,$K317))</f>
        <v/>
      </c>
      <c r="P317">
        <f>IF($A317="","",$A317*100000+ROW())</f>
        <v/>
      </c>
    </row>
    <row r="318" ht="18" customHeight="1">
      <c r="A318" s="60" t="n"/>
      <c r="B318" s="61">
        <f>IF(A318="","",TEXT(A318,"mmm yyyy"))</f>
        <v/>
      </c>
      <c r="C318" s="62" t="n"/>
      <c r="D318" s="62" t="n"/>
      <c r="E318" s="62" t="n"/>
      <c r="F318" s="62" t="n"/>
      <c r="G318" s="63" t="n"/>
      <c r="H318" s="62" t="n"/>
      <c r="K318">
        <f>IF($C318="","",IF(COUNTIF($C$3:$C318,$C318)=1,$C318,""))</f>
        <v/>
      </c>
      <c r="L318">
        <f>IF($K318="","",$M318+ROW()/10000000)</f>
        <v/>
      </c>
      <c r="M318">
        <f>IF($K318="","",SUMIF($C$3:$C$1002,$K318,$G$3:$G$1002))</f>
        <v/>
      </c>
      <c r="N318">
        <f>IF($K318="","",COUNTIF($C$3:$C$1002,$K318))</f>
        <v/>
      </c>
      <c r="P318">
        <f>IF($A318="","",$A318*100000+ROW())</f>
        <v/>
      </c>
    </row>
    <row r="319" ht="18" customHeight="1">
      <c r="A319" s="60" t="n"/>
      <c r="B319" s="61">
        <f>IF(A319="","",TEXT(A319,"mmm yyyy"))</f>
        <v/>
      </c>
      <c r="C319" s="62" t="n"/>
      <c r="D319" s="62" t="n"/>
      <c r="E319" s="62" t="n"/>
      <c r="F319" s="62" t="n"/>
      <c r="G319" s="63" t="n"/>
      <c r="H319" s="62" t="n"/>
      <c r="K319">
        <f>IF($C319="","",IF(COUNTIF($C$3:$C319,$C319)=1,$C319,""))</f>
        <v/>
      </c>
      <c r="L319">
        <f>IF($K319="","",$M319+ROW()/10000000)</f>
        <v/>
      </c>
      <c r="M319">
        <f>IF($K319="","",SUMIF($C$3:$C$1002,$K319,$G$3:$G$1002))</f>
        <v/>
      </c>
      <c r="N319">
        <f>IF($K319="","",COUNTIF($C$3:$C$1002,$K319))</f>
        <v/>
      </c>
      <c r="P319">
        <f>IF($A319="","",$A319*100000+ROW())</f>
        <v/>
      </c>
    </row>
    <row r="320" ht="18" customHeight="1">
      <c r="A320" s="60" t="n"/>
      <c r="B320" s="61">
        <f>IF(A320="","",TEXT(A320,"mmm yyyy"))</f>
        <v/>
      </c>
      <c r="C320" s="62" t="n"/>
      <c r="D320" s="62" t="n"/>
      <c r="E320" s="62" t="n"/>
      <c r="F320" s="62" t="n"/>
      <c r="G320" s="63" t="n"/>
      <c r="H320" s="62" t="n"/>
      <c r="K320">
        <f>IF($C320="","",IF(COUNTIF($C$3:$C320,$C320)=1,$C320,""))</f>
        <v/>
      </c>
      <c r="L320">
        <f>IF($K320="","",$M320+ROW()/10000000)</f>
        <v/>
      </c>
      <c r="M320">
        <f>IF($K320="","",SUMIF($C$3:$C$1002,$K320,$G$3:$G$1002))</f>
        <v/>
      </c>
      <c r="N320">
        <f>IF($K320="","",COUNTIF($C$3:$C$1002,$K320))</f>
        <v/>
      </c>
      <c r="P320">
        <f>IF($A320="","",$A320*100000+ROW())</f>
        <v/>
      </c>
    </row>
    <row r="321" ht="18" customHeight="1">
      <c r="A321" s="60" t="n"/>
      <c r="B321" s="61">
        <f>IF(A321="","",TEXT(A321,"mmm yyyy"))</f>
        <v/>
      </c>
      <c r="C321" s="62" t="n"/>
      <c r="D321" s="62" t="n"/>
      <c r="E321" s="62" t="n"/>
      <c r="F321" s="62" t="n"/>
      <c r="G321" s="63" t="n"/>
      <c r="H321" s="62" t="n"/>
      <c r="K321">
        <f>IF($C321="","",IF(COUNTIF($C$3:$C321,$C321)=1,$C321,""))</f>
        <v/>
      </c>
      <c r="L321">
        <f>IF($K321="","",$M321+ROW()/10000000)</f>
        <v/>
      </c>
      <c r="M321">
        <f>IF($K321="","",SUMIF($C$3:$C$1002,$K321,$G$3:$G$1002))</f>
        <v/>
      </c>
      <c r="N321">
        <f>IF($K321="","",COUNTIF($C$3:$C$1002,$K321))</f>
        <v/>
      </c>
      <c r="P321">
        <f>IF($A321="","",$A321*100000+ROW())</f>
        <v/>
      </c>
    </row>
    <row r="322" ht="18" customHeight="1">
      <c r="A322" s="60" t="n"/>
      <c r="B322" s="61">
        <f>IF(A322="","",TEXT(A322,"mmm yyyy"))</f>
        <v/>
      </c>
      <c r="C322" s="62" t="n"/>
      <c r="D322" s="62" t="n"/>
      <c r="E322" s="62" t="n"/>
      <c r="F322" s="62" t="n"/>
      <c r="G322" s="63" t="n"/>
      <c r="H322" s="62" t="n"/>
      <c r="K322">
        <f>IF($C322="","",IF(COUNTIF($C$3:$C322,$C322)=1,$C322,""))</f>
        <v/>
      </c>
      <c r="L322">
        <f>IF($K322="","",$M322+ROW()/10000000)</f>
        <v/>
      </c>
      <c r="M322">
        <f>IF($K322="","",SUMIF($C$3:$C$1002,$K322,$G$3:$G$1002))</f>
        <v/>
      </c>
      <c r="N322">
        <f>IF($K322="","",COUNTIF($C$3:$C$1002,$K322))</f>
        <v/>
      </c>
      <c r="P322">
        <f>IF($A322="","",$A322*100000+ROW())</f>
        <v/>
      </c>
    </row>
    <row r="323" ht="18" customHeight="1">
      <c r="A323" s="60" t="n"/>
      <c r="B323" s="61">
        <f>IF(A323="","",TEXT(A323,"mmm yyyy"))</f>
        <v/>
      </c>
      <c r="C323" s="62" t="n"/>
      <c r="D323" s="62" t="n"/>
      <c r="E323" s="62" t="n"/>
      <c r="F323" s="62" t="n"/>
      <c r="G323" s="63" t="n"/>
      <c r="H323" s="62" t="n"/>
      <c r="K323">
        <f>IF($C323="","",IF(COUNTIF($C$3:$C323,$C323)=1,$C323,""))</f>
        <v/>
      </c>
      <c r="L323">
        <f>IF($K323="","",$M323+ROW()/10000000)</f>
        <v/>
      </c>
      <c r="M323">
        <f>IF($K323="","",SUMIF($C$3:$C$1002,$K323,$G$3:$G$1002))</f>
        <v/>
      </c>
      <c r="N323">
        <f>IF($K323="","",COUNTIF($C$3:$C$1002,$K323))</f>
        <v/>
      </c>
      <c r="P323">
        <f>IF($A323="","",$A323*100000+ROW())</f>
        <v/>
      </c>
    </row>
    <row r="324" ht="18" customHeight="1">
      <c r="A324" s="60" t="n"/>
      <c r="B324" s="61">
        <f>IF(A324="","",TEXT(A324,"mmm yyyy"))</f>
        <v/>
      </c>
      <c r="C324" s="62" t="n"/>
      <c r="D324" s="62" t="n"/>
      <c r="E324" s="62" t="n"/>
      <c r="F324" s="62" t="n"/>
      <c r="G324" s="63" t="n"/>
      <c r="H324" s="62" t="n"/>
      <c r="K324">
        <f>IF($C324="","",IF(COUNTIF($C$3:$C324,$C324)=1,$C324,""))</f>
        <v/>
      </c>
      <c r="L324">
        <f>IF($K324="","",$M324+ROW()/10000000)</f>
        <v/>
      </c>
      <c r="M324">
        <f>IF($K324="","",SUMIF($C$3:$C$1002,$K324,$G$3:$G$1002))</f>
        <v/>
      </c>
      <c r="N324">
        <f>IF($K324="","",COUNTIF($C$3:$C$1002,$K324))</f>
        <v/>
      </c>
      <c r="P324">
        <f>IF($A324="","",$A324*100000+ROW())</f>
        <v/>
      </c>
    </row>
    <row r="325" ht="18" customHeight="1">
      <c r="A325" s="60" t="n"/>
      <c r="B325" s="61">
        <f>IF(A325="","",TEXT(A325,"mmm yyyy"))</f>
        <v/>
      </c>
      <c r="C325" s="62" t="n"/>
      <c r="D325" s="62" t="n"/>
      <c r="E325" s="62" t="n"/>
      <c r="F325" s="62" t="n"/>
      <c r="G325" s="63" t="n"/>
      <c r="H325" s="62" t="n"/>
      <c r="K325">
        <f>IF($C325="","",IF(COUNTIF($C$3:$C325,$C325)=1,$C325,""))</f>
        <v/>
      </c>
      <c r="L325">
        <f>IF($K325="","",$M325+ROW()/10000000)</f>
        <v/>
      </c>
      <c r="M325">
        <f>IF($K325="","",SUMIF($C$3:$C$1002,$K325,$G$3:$G$1002))</f>
        <v/>
      </c>
      <c r="N325">
        <f>IF($K325="","",COUNTIF($C$3:$C$1002,$K325))</f>
        <v/>
      </c>
      <c r="P325">
        <f>IF($A325="","",$A325*100000+ROW())</f>
        <v/>
      </c>
    </row>
    <row r="326" ht="18" customHeight="1">
      <c r="A326" s="60" t="n"/>
      <c r="B326" s="61">
        <f>IF(A326="","",TEXT(A326,"mmm yyyy"))</f>
        <v/>
      </c>
      <c r="C326" s="62" t="n"/>
      <c r="D326" s="62" t="n"/>
      <c r="E326" s="62" t="n"/>
      <c r="F326" s="62" t="n"/>
      <c r="G326" s="63" t="n"/>
      <c r="H326" s="62" t="n"/>
      <c r="K326">
        <f>IF($C326="","",IF(COUNTIF($C$3:$C326,$C326)=1,$C326,""))</f>
        <v/>
      </c>
      <c r="L326">
        <f>IF($K326="","",$M326+ROW()/10000000)</f>
        <v/>
      </c>
      <c r="M326">
        <f>IF($K326="","",SUMIF($C$3:$C$1002,$K326,$G$3:$G$1002))</f>
        <v/>
      </c>
      <c r="N326">
        <f>IF($K326="","",COUNTIF($C$3:$C$1002,$K326))</f>
        <v/>
      </c>
      <c r="P326">
        <f>IF($A326="","",$A326*100000+ROW())</f>
        <v/>
      </c>
    </row>
    <row r="327" ht="18" customHeight="1">
      <c r="A327" s="60" t="n"/>
      <c r="B327" s="61">
        <f>IF(A327="","",TEXT(A327,"mmm yyyy"))</f>
        <v/>
      </c>
      <c r="C327" s="62" t="n"/>
      <c r="D327" s="62" t="n"/>
      <c r="E327" s="62" t="n"/>
      <c r="F327" s="62" t="n"/>
      <c r="G327" s="63" t="n"/>
      <c r="H327" s="62" t="n"/>
      <c r="K327">
        <f>IF($C327="","",IF(COUNTIF($C$3:$C327,$C327)=1,$C327,""))</f>
        <v/>
      </c>
      <c r="L327">
        <f>IF($K327="","",$M327+ROW()/10000000)</f>
        <v/>
      </c>
      <c r="M327">
        <f>IF($K327="","",SUMIF($C$3:$C$1002,$K327,$G$3:$G$1002))</f>
        <v/>
      </c>
      <c r="N327">
        <f>IF($K327="","",COUNTIF($C$3:$C$1002,$K327))</f>
        <v/>
      </c>
      <c r="P327">
        <f>IF($A327="","",$A327*100000+ROW())</f>
        <v/>
      </c>
    </row>
    <row r="328" ht="18" customHeight="1">
      <c r="A328" s="60" t="n"/>
      <c r="B328" s="61">
        <f>IF(A328="","",TEXT(A328,"mmm yyyy"))</f>
        <v/>
      </c>
      <c r="C328" s="62" t="n"/>
      <c r="D328" s="62" t="n"/>
      <c r="E328" s="62" t="n"/>
      <c r="F328" s="62" t="n"/>
      <c r="G328" s="63" t="n"/>
      <c r="H328" s="62" t="n"/>
      <c r="K328">
        <f>IF($C328="","",IF(COUNTIF($C$3:$C328,$C328)=1,$C328,""))</f>
        <v/>
      </c>
      <c r="L328">
        <f>IF($K328="","",$M328+ROW()/10000000)</f>
        <v/>
      </c>
      <c r="M328">
        <f>IF($K328="","",SUMIF($C$3:$C$1002,$K328,$G$3:$G$1002))</f>
        <v/>
      </c>
      <c r="N328">
        <f>IF($K328="","",COUNTIF($C$3:$C$1002,$K328))</f>
        <v/>
      </c>
      <c r="P328">
        <f>IF($A328="","",$A328*100000+ROW())</f>
        <v/>
      </c>
    </row>
    <row r="329" ht="18" customHeight="1">
      <c r="A329" s="60" t="n"/>
      <c r="B329" s="61">
        <f>IF(A329="","",TEXT(A329,"mmm yyyy"))</f>
        <v/>
      </c>
      <c r="C329" s="62" t="n"/>
      <c r="D329" s="62" t="n"/>
      <c r="E329" s="62" t="n"/>
      <c r="F329" s="62" t="n"/>
      <c r="G329" s="63" t="n"/>
      <c r="H329" s="62" t="n"/>
      <c r="K329">
        <f>IF($C329="","",IF(COUNTIF($C$3:$C329,$C329)=1,$C329,""))</f>
        <v/>
      </c>
      <c r="L329">
        <f>IF($K329="","",$M329+ROW()/10000000)</f>
        <v/>
      </c>
      <c r="M329">
        <f>IF($K329="","",SUMIF($C$3:$C$1002,$K329,$G$3:$G$1002))</f>
        <v/>
      </c>
      <c r="N329">
        <f>IF($K329="","",COUNTIF($C$3:$C$1002,$K329))</f>
        <v/>
      </c>
      <c r="P329">
        <f>IF($A329="","",$A329*100000+ROW())</f>
        <v/>
      </c>
    </row>
    <row r="330" ht="18" customHeight="1">
      <c r="A330" s="60" t="n"/>
      <c r="B330" s="61">
        <f>IF(A330="","",TEXT(A330,"mmm yyyy"))</f>
        <v/>
      </c>
      <c r="C330" s="62" t="n"/>
      <c r="D330" s="62" t="n"/>
      <c r="E330" s="62" t="n"/>
      <c r="F330" s="62" t="n"/>
      <c r="G330" s="63" t="n"/>
      <c r="H330" s="62" t="n"/>
      <c r="K330">
        <f>IF($C330="","",IF(COUNTIF($C$3:$C330,$C330)=1,$C330,""))</f>
        <v/>
      </c>
      <c r="L330">
        <f>IF($K330="","",$M330+ROW()/10000000)</f>
        <v/>
      </c>
      <c r="M330">
        <f>IF($K330="","",SUMIF($C$3:$C$1002,$K330,$G$3:$G$1002))</f>
        <v/>
      </c>
      <c r="N330">
        <f>IF($K330="","",COUNTIF($C$3:$C$1002,$K330))</f>
        <v/>
      </c>
      <c r="P330">
        <f>IF($A330="","",$A330*100000+ROW())</f>
        <v/>
      </c>
    </row>
    <row r="331" ht="18" customHeight="1">
      <c r="A331" s="60" t="n"/>
      <c r="B331" s="61">
        <f>IF(A331="","",TEXT(A331,"mmm yyyy"))</f>
        <v/>
      </c>
      <c r="C331" s="62" t="n"/>
      <c r="D331" s="62" t="n"/>
      <c r="E331" s="62" t="n"/>
      <c r="F331" s="62" t="n"/>
      <c r="G331" s="63" t="n"/>
      <c r="H331" s="62" t="n"/>
      <c r="K331">
        <f>IF($C331="","",IF(COUNTIF($C$3:$C331,$C331)=1,$C331,""))</f>
        <v/>
      </c>
      <c r="L331">
        <f>IF($K331="","",$M331+ROW()/10000000)</f>
        <v/>
      </c>
      <c r="M331">
        <f>IF($K331="","",SUMIF($C$3:$C$1002,$K331,$G$3:$G$1002))</f>
        <v/>
      </c>
      <c r="N331">
        <f>IF($K331="","",COUNTIF($C$3:$C$1002,$K331))</f>
        <v/>
      </c>
      <c r="P331">
        <f>IF($A331="","",$A331*100000+ROW())</f>
        <v/>
      </c>
    </row>
    <row r="332" ht="18" customHeight="1">
      <c r="A332" s="60" t="n"/>
      <c r="B332" s="61">
        <f>IF(A332="","",TEXT(A332,"mmm yyyy"))</f>
        <v/>
      </c>
      <c r="C332" s="62" t="n"/>
      <c r="D332" s="62" t="n"/>
      <c r="E332" s="62" t="n"/>
      <c r="F332" s="62" t="n"/>
      <c r="G332" s="63" t="n"/>
      <c r="H332" s="62" t="n"/>
      <c r="K332">
        <f>IF($C332="","",IF(COUNTIF($C$3:$C332,$C332)=1,$C332,""))</f>
        <v/>
      </c>
      <c r="L332">
        <f>IF($K332="","",$M332+ROW()/10000000)</f>
        <v/>
      </c>
      <c r="M332">
        <f>IF($K332="","",SUMIF($C$3:$C$1002,$K332,$G$3:$G$1002))</f>
        <v/>
      </c>
      <c r="N332">
        <f>IF($K332="","",COUNTIF($C$3:$C$1002,$K332))</f>
        <v/>
      </c>
      <c r="P332">
        <f>IF($A332="","",$A332*100000+ROW())</f>
        <v/>
      </c>
    </row>
    <row r="333" ht="18" customHeight="1">
      <c r="A333" s="60" t="n"/>
      <c r="B333" s="61">
        <f>IF(A333="","",TEXT(A333,"mmm yyyy"))</f>
        <v/>
      </c>
      <c r="C333" s="62" t="n"/>
      <c r="D333" s="62" t="n"/>
      <c r="E333" s="62" t="n"/>
      <c r="F333" s="62" t="n"/>
      <c r="G333" s="63" t="n"/>
      <c r="H333" s="62" t="n"/>
      <c r="K333">
        <f>IF($C333="","",IF(COUNTIF($C$3:$C333,$C333)=1,$C333,""))</f>
        <v/>
      </c>
      <c r="L333">
        <f>IF($K333="","",$M333+ROW()/10000000)</f>
        <v/>
      </c>
      <c r="M333">
        <f>IF($K333="","",SUMIF($C$3:$C$1002,$K333,$G$3:$G$1002))</f>
        <v/>
      </c>
      <c r="N333">
        <f>IF($K333="","",COUNTIF($C$3:$C$1002,$K333))</f>
        <v/>
      </c>
      <c r="P333">
        <f>IF($A333="","",$A333*100000+ROW())</f>
        <v/>
      </c>
    </row>
    <row r="334" ht="18" customHeight="1">
      <c r="A334" s="60" t="n"/>
      <c r="B334" s="61">
        <f>IF(A334="","",TEXT(A334,"mmm yyyy"))</f>
        <v/>
      </c>
      <c r="C334" s="62" t="n"/>
      <c r="D334" s="62" t="n"/>
      <c r="E334" s="62" t="n"/>
      <c r="F334" s="62" t="n"/>
      <c r="G334" s="63" t="n"/>
      <c r="H334" s="62" t="n"/>
      <c r="K334">
        <f>IF($C334="","",IF(COUNTIF($C$3:$C334,$C334)=1,$C334,""))</f>
        <v/>
      </c>
      <c r="L334">
        <f>IF($K334="","",$M334+ROW()/10000000)</f>
        <v/>
      </c>
      <c r="M334">
        <f>IF($K334="","",SUMIF($C$3:$C$1002,$K334,$G$3:$G$1002))</f>
        <v/>
      </c>
      <c r="N334">
        <f>IF($K334="","",COUNTIF($C$3:$C$1002,$K334))</f>
        <v/>
      </c>
      <c r="P334">
        <f>IF($A334="","",$A334*100000+ROW())</f>
        <v/>
      </c>
    </row>
    <row r="335" ht="18" customHeight="1">
      <c r="A335" s="60" t="n"/>
      <c r="B335" s="61">
        <f>IF(A335="","",TEXT(A335,"mmm yyyy"))</f>
        <v/>
      </c>
      <c r="C335" s="62" t="n"/>
      <c r="D335" s="62" t="n"/>
      <c r="E335" s="62" t="n"/>
      <c r="F335" s="62" t="n"/>
      <c r="G335" s="63" t="n"/>
      <c r="H335" s="62" t="n"/>
      <c r="K335">
        <f>IF($C335="","",IF(COUNTIF($C$3:$C335,$C335)=1,$C335,""))</f>
        <v/>
      </c>
      <c r="L335">
        <f>IF($K335="","",$M335+ROW()/10000000)</f>
        <v/>
      </c>
      <c r="M335">
        <f>IF($K335="","",SUMIF($C$3:$C$1002,$K335,$G$3:$G$1002))</f>
        <v/>
      </c>
      <c r="N335">
        <f>IF($K335="","",COUNTIF($C$3:$C$1002,$K335))</f>
        <v/>
      </c>
      <c r="P335">
        <f>IF($A335="","",$A335*100000+ROW())</f>
        <v/>
      </c>
    </row>
    <row r="336" ht="18" customHeight="1">
      <c r="A336" s="60" t="n"/>
      <c r="B336" s="61">
        <f>IF(A336="","",TEXT(A336,"mmm yyyy"))</f>
        <v/>
      </c>
      <c r="C336" s="62" t="n"/>
      <c r="D336" s="62" t="n"/>
      <c r="E336" s="62" t="n"/>
      <c r="F336" s="62" t="n"/>
      <c r="G336" s="63" t="n"/>
      <c r="H336" s="62" t="n"/>
      <c r="K336">
        <f>IF($C336="","",IF(COUNTIF($C$3:$C336,$C336)=1,$C336,""))</f>
        <v/>
      </c>
      <c r="L336">
        <f>IF($K336="","",$M336+ROW()/10000000)</f>
        <v/>
      </c>
      <c r="M336">
        <f>IF($K336="","",SUMIF($C$3:$C$1002,$K336,$G$3:$G$1002))</f>
        <v/>
      </c>
      <c r="N336">
        <f>IF($K336="","",COUNTIF($C$3:$C$1002,$K336))</f>
        <v/>
      </c>
      <c r="P336">
        <f>IF($A336="","",$A336*100000+ROW())</f>
        <v/>
      </c>
    </row>
    <row r="337" ht="18" customHeight="1">
      <c r="A337" s="60" t="n"/>
      <c r="B337" s="61">
        <f>IF(A337="","",TEXT(A337,"mmm yyyy"))</f>
        <v/>
      </c>
      <c r="C337" s="62" t="n"/>
      <c r="D337" s="62" t="n"/>
      <c r="E337" s="62" t="n"/>
      <c r="F337" s="62" t="n"/>
      <c r="G337" s="63" t="n"/>
      <c r="H337" s="62" t="n"/>
      <c r="K337">
        <f>IF($C337="","",IF(COUNTIF($C$3:$C337,$C337)=1,$C337,""))</f>
        <v/>
      </c>
      <c r="L337">
        <f>IF($K337="","",$M337+ROW()/10000000)</f>
        <v/>
      </c>
      <c r="M337">
        <f>IF($K337="","",SUMIF($C$3:$C$1002,$K337,$G$3:$G$1002))</f>
        <v/>
      </c>
      <c r="N337">
        <f>IF($K337="","",COUNTIF($C$3:$C$1002,$K337))</f>
        <v/>
      </c>
      <c r="P337">
        <f>IF($A337="","",$A337*100000+ROW())</f>
        <v/>
      </c>
    </row>
    <row r="338" ht="18" customHeight="1">
      <c r="A338" s="60" t="n"/>
      <c r="B338" s="61">
        <f>IF(A338="","",TEXT(A338,"mmm yyyy"))</f>
        <v/>
      </c>
      <c r="C338" s="62" t="n"/>
      <c r="D338" s="62" t="n"/>
      <c r="E338" s="62" t="n"/>
      <c r="F338" s="62" t="n"/>
      <c r="G338" s="63" t="n"/>
      <c r="H338" s="62" t="n"/>
      <c r="K338">
        <f>IF($C338="","",IF(COUNTIF($C$3:$C338,$C338)=1,$C338,""))</f>
        <v/>
      </c>
      <c r="L338">
        <f>IF($K338="","",$M338+ROW()/10000000)</f>
        <v/>
      </c>
      <c r="M338">
        <f>IF($K338="","",SUMIF($C$3:$C$1002,$K338,$G$3:$G$1002))</f>
        <v/>
      </c>
      <c r="N338">
        <f>IF($K338="","",COUNTIF($C$3:$C$1002,$K338))</f>
        <v/>
      </c>
      <c r="P338">
        <f>IF($A338="","",$A338*100000+ROW())</f>
        <v/>
      </c>
    </row>
    <row r="339" ht="18" customHeight="1">
      <c r="A339" s="60" t="n"/>
      <c r="B339" s="61">
        <f>IF(A339="","",TEXT(A339,"mmm yyyy"))</f>
        <v/>
      </c>
      <c r="C339" s="62" t="n"/>
      <c r="D339" s="62" t="n"/>
      <c r="E339" s="62" t="n"/>
      <c r="F339" s="62" t="n"/>
      <c r="G339" s="63" t="n"/>
      <c r="H339" s="62" t="n"/>
      <c r="K339">
        <f>IF($C339="","",IF(COUNTIF($C$3:$C339,$C339)=1,$C339,""))</f>
        <v/>
      </c>
      <c r="L339">
        <f>IF($K339="","",$M339+ROW()/10000000)</f>
        <v/>
      </c>
      <c r="M339">
        <f>IF($K339="","",SUMIF($C$3:$C$1002,$K339,$G$3:$G$1002))</f>
        <v/>
      </c>
      <c r="N339">
        <f>IF($K339="","",COUNTIF($C$3:$C$1002,$K339))</f>
        <v/>
      </c>
      <c r="P339">
        <f>IF($A339="","",$A339*100000+ROW())</f>
        <v/>
      </c>
    </row>
    <row r="340" ht="18" customHeight="1">
      <c r="A340" s="60" t="n"/>
      <c r="B340" s="61">
        <f>IF(A340="","",TEXT(A340,"mmm yyyy"))</f>
        <v/>
      </c>
      <c r="C340" s="62" t="n"/>
      <c r="D340" s="62" t="n"/>
      <c r="E340" s="62" t="n"/>
      <c r="F340" s="62" t="n"/>
      <c r="G340" s="63" t="n"/>
      <c r="H340" s="62" t="n"/>
      <c r="K340">
        <f>IF($C340="","",IF(COUNTIF($C$3:$C340,$C340)=1,$C340,""))</f>
        <v/>
      </c>
      <c r="L340">
        <f>IF($K340="","",$M340+ROW()/10000000)</f>
        <v/>
      </c>
      <c r="M340">
        <f>IF($K340="","",SUMIF($C$3:$C$1002,$K340,$G$3:$G$1002))</f>
        <v/>
      </c>
      <c r="N340">
        <f>IF($K340="","",COUNTIF($C$3:$C$1002,$K340))</f>
        <v/>
      </c>
      <c r="P340">
        <f>IF($A340="","",$A340*100000+ROW())</f>
        <v/>
      </c>
    </row>
    <row r="341" ht="18" customHeight="1">
      <c r="A341" s="60" t="n"/>
      <c r="B341" s="61">
        <f>IF(A341="","",TEXT(A341,"mmm yyyy"))</f>
        <v/>
      </c>
      <c r="C341" s="62" t="n"/>
      <c r="D341" s="62" t="n"/>
      <c r="E341" s="62" t="n"/>
      <c r="F341" s="62" t="n"/>
      <c r="G341" s="63" t="n"/>
      <c r="H341" s="62" t="n"/>
      <c r="K341">
        <f>IF($C341="","",IF(COUNTIF($C$3:$C341,$C341)=1,$C341,""))</f>
        <v/>
      </c>
      <c r="L341">
        <f>IF($K341="","",$M341+ROW()/10000000)</f>
        <v/>
      </c>
      <c r="M341">
        <f>IF($K341="","",SUMIF($C$3:$C$1002,$K341,$G$3:$G$1002))</f>
        <v/>
      </c>
      <c r="N341">
        <f>IF($K341="","",COUNTIF($C$3:$C$1002,$K341))</f>
        <v/>
      </c>
      <c r="P341">
        <f>IF($A341="","",$A341*100000+ROW())</f>
        <v/>
      </c>
    </row>
    <row r="342" ht="18" customHeight="1">
      <c r="A342" s="60" t="n"/>
      <c r="B342" s="61">
        <f>IF(A342="","",TEXT(A342,"mmm yyyy"))</f>
        <v/>
      </c>
      <c r="C342" s="62" t="n"/>
      <c r="D342" s="62" t="n"/>
      <c r="E342" s="62" t="n"/>
      <c r="F342" s="62" t="n"/>
      <c r="G342" s="63" t="n"/>
      <c r="H342" s="62" t="n"/>
      <c r="K342">
        <f>IF($C342="","",IF(COUNTIF($C$3:$C342,$C342)=1,$C342,""))</f>
        <v/>
      </c>
      <c r="L342">
        <f>IF($K342="","",$M342+ROW()/10000000)</f>
        <v/>
      </c>
      <c r="M342">
        <f>IF($K342="","",SUMIF($C$3:$C$1002,$K342,$G$3:$G$1002))</f>
        <v/>
      </c>
      <c r="N342">
        <f>IF($K342="","",COUNTIF($C$3:$C$1002,$K342))</f>
        <v/>
      </c>
      <c r="P342">
        <f>IF($A342="","",$A342*100000+ROW())</f>
        <v/>
      </c>
    </row>
    <row r="343" ht="18" customHeight="1">
      <c r="A343" s="60" t="n"/>
      <c r="B343" s="61">
        <f>IF(A343="","",TEXT(A343,"mmm yyyy"))</f>
        <v/>
      </c>
      <c r="C343" s="62" t="n"/>
      <c r="D343" s="62" t="n"/>
      <c r="E343" s="62" t="n"/>
      <c r="F343" s="62" t="n"/>
      <c r="G343" s="63" t="n"/>
      <c r="H343" s="62" t="n"/>
      <c r="K343">
        <f>IF($C343="","",IF(COUNTIF($C$3:$C343,$C343)=1,$C343,""))</f>
        <v/>
      </c>
      <c r="L343">
        <f>IF($K343="","",$M343+ROW()/10000000)</f>
        <v/>
      </c>
      <c r="M343">
        <f>IF($K343="","",SUMIF($C$3:$C$1002,$K343,$G$3:$G$1002))</f>
        <v/>
      </c>
      <c r="N343">
        <f>IF($K343="","",COUNTIF($C$3:$C$1002,$K343))</f>
        <v/>
      </c>
      <c r="P343">
        <f>IF($A343="","",$A343*100000+ROW())</f>
        <v/>
      </c>
    </row>
    <row r="344" ht="18" customHeight="1">
      <c r="A344" s="60" t="n"/>
      <c r="B344" s="61">
        <f>IF(A344="","",TEXT(A344,"mmm yyyy"))</f>
        <v/>
      </c>
      <c r="C344" s="62" t="n"/>
      <c r="D344" s="62" t="n"/>
      <c r="E344" s="62" t="n"/>
      <c r="F344" s="62" t="n"/>
      <c r="G344" s="63" t="n"/>
      <c r="H344" s="62" t="n"/>
      <c r="K344">
        <f>IF($C344="","",IF(COUNTIF($C$3:$C344,$C344)=1,$C344,""))</f>
        <v/>
      </c>
      <c r="L344">
        <f>IF($K344="","",$M344+ROW()/10000000)</f>
        <v/>
      </c>
      <c r="M344">
        <f>IF($K344="","",SUMIF($C$3:$C$1002,$K344,$G$3:$G$1002))</f>
        <v/>
      </c>
      <c r="N344">
        <f>IF($K344="","",COUNTIF($C$3:$C$1002,$K344))</f>
        <v/>
      </c>
      <c r="P344">
        <f>IF($A344="","",$A344*100000+ROW())</f>
        <v/>
      </c>
    </row>
    <row r="345" ht="18" customHeight="1">
      <c r="A345" s="60" t="n"/>
      <c r="B345" s="61">
        <f>IF(A345="","",TEXT(A345,"mmm yyyy"))</f>
        <v/>
      </c>
      <c r="C345" s="62" t="n"/>
      <c r="D345" s="62" t="n"/>
      <c r="E345" s="62" t="n"/>
      <c r="F345" s="62" t="n"/>
      <c r="G345" s="63" t="n"/>
      <c r="H345" s="62" t="n"/>
      <c r="K345">
        <f>IF($C345="","",IF(COUNTIF($C$3:$C345,$C345)=1,$C345,""))</f>
        <v/>
      </c>
      <c r="L345">
        <f>IF($K345="","",$M345+ROW()/10000000)</f>
        <v/>
      </c>
      <c r="M345">
        <f>IF($K345="","",SUMIF($C$3:$C$1002,$K345,$G$3:$G$1002))</f>
        <v/>
      </c>
      <c r="N345">
        <f>IF($K345="","",COUNTIF($C$3:$C$1002,$K345))</f>
        <v/>
      </c>
      <c r="P345">
        <f>IF($A345="","",$A345*100000+ROW())</f>
        <v/>
      </c>
    </row>
    <row r="346" ht="18" customHeight="1">
      <c r="A346" s="60" t="n"/>
      <c r="B346" s="61">
        <f>IF(A346="","",TEXT(A346,"mmm yyyy"))</f>
        <v/>
      </c>
      <c r="C346" s="62" t="n"/>
      <c r="D346" s="62" t="n"/>
      <c r="E346" s="62" t="n"/>
      <c r="F346" s="62" t="n"/>
      <c r="G346" s="63" t="n"/>
      <c r="H346" s="62" t="n"/>
      <c r="K346">
        <f>IF($C346="","",IF(COUNTIF($C$3:$C346,$C346)=1,$C346,""))</f>
        <v/>
      </c>
      <c r="L346">
        <f>IF($K346="","",$M346+ROW()/10000000)</f>
        <v/>
      </c>
      <c r="M346">
        <f>IF($K346="","",SUMIF($C$3:$C$1002,$K346,$G$3:$G$1002))</f>
        <v/>
      </c>
      <c r="N346">
        <f>IF($K346="","",COUNTIF($C$3:$C$1002,$K346))</f>
        <v/>
      </c>
      <c r="P346">
        <f>IF($A346="","",$A346*100000+ROW())</f>
        <v/>
      </c>
    </row>
    <row r="347" ht="18" customHeight="1">
      <c r="A347" s="60" t="n"/>
      <c r="B347" s="61">
        <f>IF(A347="","",TEXT(A347,"mmm yyyy"))</f>
        <v/>
      </c>
      <c r="C347" s="62" t="n"/>
      <c r="D347" s="62" t="n"/>
      <c r="E347" s="62" t="n"/>
      <c r="F347" s="62" t="n"/>
      <c r="G347" s="63" t="n"/>
      <c r="H347" s="62" t="n"/>
      <c r="K347">
        <f>IF($C347="","",IF(COUNTIF($C$3:$C347,$C347)=1,$C347,""))</f>
        <v/>
      </c>
      <c r="L347">
        <f>IF($K347="","",$M347+ROW()/10000000)</f>
        <v/>
      </c>
      <c r="M347">
        <f>IF($K347="","",SUMIF($C$3:$C$1002,$K347,$G$3:$G$1002))</f>
        <v/>
      </c>
      <c r="N347">
        <f>IF($K347="","",COUNTIF($C$3:$C$1002,$K347))</f>
        <v/>
      </c>
      <c r="P347">
        <f>IF($A347="","",$A347*100000+ROW())</f>
        <v/>
      </c>
    </row>
    <row r="348" ht="18" customHeight="1">
      <c r="A348" s="60" t="n"/>
      <c r="B348" s="61">
        <f>IF(A348="","",TEXT(A348,"mmm yyyy"))</f>
        <v/>
      </c>
      <c r="C348" s="62" t="n"/>
      <c r="D348" s="62" t="n"/>
      <c r="E348" s="62" t="n"/>
      <c r="F348" s="62" t="n"/>
      <c r="G348" s="63" t="n"/>
      <c r="H348" s="62" t="n"/>
      <c r="K348">
        <f>IF($C348="","",IF(COUNTIF($C$3:$C348,$C348)=1,$C348,""))</f>
        <v/>
      </c>
      <c r="L348">
        <f>IF($K348="","",$M348+ROW()/10000000)</f>
        <v/>
      </c>
      <c r="M348">
        <f>IF($K348="","",SUMIF($C$3:$C$1002,$K348,$G$3:$G$1002))</f>
        <v/>
      </c>
      <c r="N348">
        <f>IF($K348="","",COUNTIF($C$3:$C$1002,$K348))</f>
        <v/>
      </c>
      <c r="P348">
        <f>IF($A348="","",$A348*100000+ROW())</f>
        <v/>
      </c>
    </row>
    <row r="349" ht="18" customHeight="1">
      <c r="A349" s="60" t="n"/>
      <c r="B349" s="61">
        <f>IF(A349="","",TEXT(A349,"mmm yyyy"))</f>
        <v/>
      </c>
      <c r="C349" s="62" t="n"/>
      <c r="D349" s="62" t="n"/>
      <c r="E349" s="62" t="n"/>
      <c r="F349" s="62" t="n"/>
      <c r="G349" s="63" t="n"/>
      <c r="H349" s="62" t="n"/>
      <c r="K349">
        <f>IF($C349="","",IF(COUNTIF($C$3:$C349,$C349)=1,$C349,""))</f>
        <v/>
      </c>
      <c r="L349">
        <f>IF($K349="","",$M349+ROW()/10000000)</f>
        <v/>
      </c>
      <c r="M349">
        <f>IF($K349="","",SUMIF($C$3:$C$1002,$K349,$G$3:$G$1002))</f>
        <v/>
      </c>
      <c r="N349">
        <f>IF($K349="","",COUNTIF($C$3:$C$1002,$K349))</f>
        <v/>
      </c>
      <c r="P349">
        <f>IF($A349="","",$A349*100000+ROW())</f>
        <v/>
      </c>
    </row>
    <row r="350" ht="18" customHeight="1">
      <c r="A350" s="60" t="n"/>
      <c r="B350" s="61">
        <f>IF(A350="","",TEXT(A350,"mmm yyyy"))</f>
        <v/>
      </c>
      <c r="C350" s="62" t="n"/>
      <c r="D350" s="62" t="n"/>
      <c r="E350" s="62" t="n"/>
      <c r="F350" s="62" t="n"/>
      <c r="G350" s="63" t="n"/>
      <c r="H350" s="62" t="n"/>
      <c r="K350">
        <f>IF($C350="","",IF(COUNTIF($C$3:$C350,$C350)=1,$C350,""))</f>
        <v/>
      </c>
      <c r="L350">
        <f>IF($K350="","",$M350+ROW()/10000000)</f>
        <v/>
      </c>
      <c r="M350">
        <f>IF($K350="","",SUMIF($C$3:$C$1002,$K350,$G$3:$G$1002))</f>
        <v/>
      </c>
      <c r="N350">
        <f>IF($K350="","",COUNTIF($C$3:$C$1002,$K350))</f>
        <v/>
      </c>
      <c r="P350">
        <f>IF($A350="","",$A350*100000+ROW())</f>
        <v/>
      </c>
    </row>
    <row r="351" ht="18" customHeight="1">
      <c r="A351" s="60" t="n"/>
      <c r="B351" s="61">
        <f>IF(A351="","",TEXT(A351,"mmm yyyy"))</f>
        <v/>
      </c>
      <c r="C351" s="62" t="n"/>
      <c r="D351" s="62" t="n"/>
      <c r="E351" s="62" t="n"/>
      <c r="F351" s="62" t="n"/>
      <c r="G351" s="63" t="n"/>
      <c r="H351" s="62" t="n"/>
      <c r="K351">
        <f>IF($C351="","",IF(COUNTIF($C$3:$C351,$C351)=1,$C351,""))</f>
        <v/>
      </c>
      <c r="L351">
        <f>IF($K351="","",$M351+ROW()/10000000)</f>
        <v/>
      </c>
      <c r="M351">
        <f>IF($K351="","",SUMIF($C$3:$C$1002,$K351,$G$3:$G$1002))</f>
        <v/>
      </c>
      <c r="N351">
        <f>IF($K351="","",COUNTIF($C$3:$C$1002,$K351))</f>
        <v/>
      </c>
      <c r="P351">
        <f>IF($A351="","",$A351*100000+ROW())</f>
        <v/>
      </c>
    </row>
    <row r="352" ht="18" customHeight="1">
      <c r="A352" s="60" t="n"/>
      <c r="B352" s="61">
        <f>IF(A352="","",TEXT(A352,"mmm yyyy"))</f>
        <v/>
      </c>
      <c r="C352" s="62" t="n"/>
      <c r="D352" s="62" t="n"/>
      <c r="E352" s="62" t="n"/>
      <c r="F352" s="62" t="n"/>
      <c r="G352" s="63" t="n"/>
      <c r="H352" s="62" t="n"/>
      <c r="K352">
        <f>IF($C352="","",IF(COUNTIF($C$3:$C352,$C352)=1,$C352,""))</f>
        <v/>
      </c>
      <c r="L352">
        <f>IF($K352="","",$M352+ROW()/10000000)</f>
        <v/>
      </c>
      <c r="M352">
        <f>IF($K352="","",SUMIF($C$3:$C$1002,$K352,$G$3:$G$1002))</f>
        <v/>
      </c>
      <c r="N352">
        <f>IF($K352="","",COUNTIF($C$3:$C$1002,$K352))</f>
        <v/>
      </c>
      <c r="P352">
        <f>IF($A352="","",$A352*100000+ROW())</f>
        <v/>
      </c>
    </row>
    <row r="353" ht="18" customHeight="1">
      <c r="A353" s="60" t="n"/>
      <c r="B353" s="61">
        <f>IF(A353="","",TEXT(A353,"mmm yyyy"))</f>
        <v/>
      </c>
      <c r="C353" s="62" t="n"/>
      <c r="D353" s="62" t="n"/>
      <c r="E353" s="62" t="n"/>
      <c r="F353" s="62" t="n"/>
      <c r="G353" s="63" t="n"/>
      <c r="H353" s="62" t="n"/>
      <c r="K353">
        <f>IF($C353="","",IF(COUNTIF($C$3:$C353,$C353)=1,$C353,""))</f>
        <v/>
      </c>
      <c r="L353">
        <f>IF($K353="","",$M353+ROW()/10000000)</f>
        <v/>
      </c>
      <c r="M353">
        <f>IF($K353="","",SUMIF($C$3:$C$1002,$K353,$G$3:$G$1002))</f>
        <v/>
      </c>
      <c r="N353">
        <f>IF($K353="","",COUNTIF($C$3:$C$1002,$K353))</f>
        <v/>
      </c>
      <c r="P353">
        <f>IF($A353="","",$A353*100000+ROW())</f>
        <v/>
      </c>
    </row>
    <row r="354" ht="18" customHeight="1">
      <c r="A354" s="60" t="n"/>
      <c r="B354" s="61">
        <f>IF(A354="","",TEXT(A354,"mmm yyyy"))</f>
        <v/>
      </c>
      <c r="C354" s="62" t="n"/>
      <c r="D354" s="62" t="n"/>
      <c r="E354" s="62" t="n"/>
      <c r="F354" s="62" t="n"/>
      <c r="G354" s="63" t="n"/>
      <c r="H354" s="62" t="n"/>
      <c r="K354">
        <f>IF($C354="","",IF(COUNTIF($C$3:$C354,$C354)=1,$C354,""))</f>
        <v/>
      </c>
      <c r="L354">
        <f>IF($K354="","",$M354+ROW()/10000000)</f>
        <v/>
      </c>
      <c r="M354">
        <f>IF($K354="","",SUMIF($C$3:$C$1002,$K354,$G$3:$G$1002))</f>
        <v/>
      </c>
      <c r="N354">
        <f>IF($K354="","",COUNTIF($C$3:$C$1002,$K354))</f>
        <v/>
      </c>
      <c r="P354">
        <f>IF($A354="","",$A354*100000+ROW())</f>
        <v/>
      </c>
    </row>
    <row r="355" ht="18" customHeight="1">
      <c r="A355" s="60" t="n"/>
      <c r="B355" s="61">
        <f>IF(A355="","",TEXT(A355,"mmm yyyy"))</f>
        <v/>
      </c>
      <c r="C355" s="62" t="n"/>
      <c r="D355" s="62" t="n"/>
      <c r="E355" s="62" t="n"/>
      <c r="F355" s="62" t="n"/>
      <c r="G355" s="63" t="n"/>
      <c r="H355" s="62" t="n"/>
      <c r="K355">
        <f>IF($C355="","",IF(COUNTIF($C$3:$C355,$C355)=1,$C355,""))</f>
        <v/>
      </c>
      <c r="L355">
        <f>IF($K355="","",$M355+ROW()/10000000)</f>
        <v/>
      </c>
      <c r="M355">
        <f>IF($K355="","",SUMIF($C$3:$C$1002,$K355,$G$3:$G$1002))</f>
        <v/>
      </c>
      <c r="N355">
        <f>IF($K355="","",COUNTIF($C$3:$C$1002,$K355))</f>
        <v/>
      </c>
      <c r="P355">
        <f>IF($A355="","",$A355*100000+ROW())</f>
        <v/>
      </c>
    </row>
    <row r="356" ht="18" customHeight="1">
      <c r="A356" s="60" t="n"/>
      <c r="B356" s="61">
        <f>IF(A356="","",TEXT(A356,"mmm yyyy"))</f>
        <v/>
      </c>
      <c r="C356" s="62" t="n"/>
      <c r="D356" s="62" t="n"/>
      <c r="E356" s="62" t="n"/>
      <c r="F356" s="62" t="n"/>
      <c r="G356" s="63" t="n"/>
      <c r="H356" s="62" t="n"/>
      <c r="K356">
        <f>IF($C356="","",IF(COUNTIF($C$3:$C356,$C356)=1,$C356,""))</f>
        <v/>
      </c>
      <c r="L356">
        <f>IF($K356="","",$M356+ROW()/10000000)</f>
        <v/>
      </c>
      <c r="M356">
        <f>IF($K356="","",SUMIF($C$3:$C$1002,$K356,$G$3:$G$1002))</f>
        <v/>
      </c>
      <c r="N356">
        <f>IF($K356="","",COUNTIF($C$3:$C$1002,$K356))</f>
        <v/>
      </c>
      <c r="P356">
        <f>IF($A356="","",$A356*100000+ROW())</f>
        <v/>
      </c>
    </row>
    <row r="357" ht="18" customHeight="1">
      <c r="A357" s="60" t="n"/>
      <c r="B357" s="61">
        <f>IF(A357="","",TEXT(A357,"mmm yyyy"))</f>
        <v/>
      </c>
      <c r="C357" s="62" t="n"/>
      <c r="D357" s="62" t="n"/>
      <c r="E357" s="62" t="n"/>
      <c r="F357" s="62" t="n"/>
      <c r="G357" s="63" t="n"/>
      <c r="H357" s="62" t="n"/>
      <c r="K357">
        <f>IF($C357="","",IF(COUNTIF($C$3:$C357,$C357)=1,$C357,""))</f>
        <v/>
      </c>
      <c r="L357">
        <f>IF($K357="","",$M357+ROW()/10000000)</f>
        <v/>
      </c>
      <c r="M357">
        <f>IF($K357="","",SUMIF($C$3:$C$1002,$K357,$G$3:$G$1002))</f>
        <v/>
      </c>
      <c r="N357">
        <f>IF($K357="","",COUNTIF($C$3:$C$1002,$K357))</f>
        <v/>
      </c>
      <c r="P357">
        <f>IF($A357="","",$A357*100000+ROW())</f>
        <v/>
      </c>
    </row>
    <row r="358" ht="18" customHeight="1">
      <c r="A358" s="60" t="n"/>
      <c r="B358" s="61">
        <f>IF(A358="","",TEXT(A358,"mmm yyyy"))</f>
        <v/>
      </c>
      <c r="C358" s="62" t="n"/>
      <c r="D358" s="62" t="n"/>
      <c r="E358" s="62" t="n"/>
      <c r="F358" s="62" t="n"/>
      <c r="G358" s="63" t="n"/>
      <c r="H358" s="62" t="n"/>
      <c r="K358">
        <f>IF($C358="","",IF(COUNTIF($C$3:$C358,$C358)=1,$C358,""))</f>
        <v/>
      </c>
      <c r="L358">
        <f>IF($K358="","",$M358+ROW()/10000000)</f>
        <v/>
      </c>
      <c r="M358">
        <f>IF($K358="","",SUMIF($C$3:$C$1002,$K358,$G$3:$G$1002))</f>
        <v/>
      </c>
      <c r="N358">
        <f>IF($K358="","",COUNTIF($C$3:$C$1002,$K358))</f>
        <v/>
      </c>
      <c r="P358">
        <f>IF($A358="","",$A358*100000+ROW())</f>
        <v/>
      </c>
    </row>
    <row r="359" ht="18" customHeight="1">
      <c r="A359" s="60" t="n"/>
      <c r="B359" s="61">
        <f>IF(A359="","",TEXT(A359,"mmm yyyy"))</f>
        <v/>
      </c>
      <c r="C359" s="62" t="n"/>
      <c r="D359" s="62" t="n"/>
      <c r="E359" s="62" t="n"/>
      <c r="F359" s="62" t="n"/>
      <c r="G359" s="63" t="n"/>
      <c r="H359" s="62" t="n"/>
      <c r="K359">
        <f>IF($C359="","",IF(COUNTIF($C$3:$C359,$C359)=1,$C359,""))</f>
        <v/>
      </c>
      <c r="L359">
        <f>IF($K359="","",$M359+ROW()/10000000)</f>
        <v/>
      </c>
      <c r="M359">
        <f>IF($K359="","",SUMIF($C$3:$C$1002,$K359,$G$3:$G$1002))</f>
        <v/>
      </c>
      <c r="N359">
        <f>IF($K359="","",COUNTIF($C$3:$C$1002,$K359))</f>
        <v/>
      </c>
      <c r="P359">
        <f>IF($A359="","",$A359*100000+ROW())</f>
        <v/>
      </c>
    </row>
    <row r="360" ht="18" customHeight="1">
      <c r="A360" s="60" t="n"/>
      <c r="B360" s="61">
        <f>IF(A360="","",TEXT(A360,"mmm yyyy"))</f>
        <v/>
      </c>
      <c r="C360" s="62" t="n"/>
      <c r="D360" s="62" t="n"/>
      <c r="E360" s="62" t="n"/>
      <c r="F360" s="62" t="n"/>
      <c r="G360" s="63" t="n"/>
      <c r="H360" s="62" t="n"/>
      <c r="K360">
        <f>IF($C360="","",IF(COUNTIF($C$3:$C360,$C360)=1,$C360,""))</f>
        <v/>
      </c>
      <c r="L360">
        <f>IF($K360="","",$M360+ROW()/10000000)</f>
        <v/>
      </c>
      <c r="M360">
        <f>IF($K360="","",SUMIF($C$3:$C$1002,$K360,$G$3:$G$1002))</f>
        <v/>
      </c>
      <c r="N360">
        <f>IF($K360="","",COUNTIF($C$3:$C$1002,$K360))</f>
        <v/>
      </c>
      <c r="P360">
        <f>IF($A360="","",$A360*100000+ROW())</f>
        <v/>
      </c>
    </row>
    <row r="361" ht="18" customHeight="1">
      <c r="A361" s="60" t="n"/>
      <c r="B361" s="61">
        <f>IF(A361="","",TEXT(A361,"mmm yyyy"))</f>
        <v/>
      </c>
      <c r="C361" s="62" t="n"/>
      <c r="D361" s="62" t="n"/>
      <c r="E361" s="62" t="n"/>
      <c r="F361" s="62" t="n"/>
      <c r="G361" s="63" t="n"/>
      <c r="H361" s="62" t="n"/>
      <c r="K361">
        <f>IF($C361="","",IF(COUNTIF($C$3:$C361,$C361)=1,$C361,""))</f>
        <v/>
      </c>
      <c r="L361">
        <f>IF($K361="","",$M361+ROW()/10000000)</f>
        <v/>
      </c>
      <c r="M361">
        <f>IF($K361="","",SUMIF($C$3:$C$1002,$K361,$G$3:$G$1002))</f>
        <v/>
      </c>
      <c r="N361">
        <f>IF($K361="","",COUNTIF($C$3:$C$1002,$K361))</f>
        <v/>
      </c>
      <c r="P361">
        <f>IF($A361="","",$A361*100000+ROW())</f>
        <v/>
      </c>
    </row>
    <row r="362" ht="18" customHeight="1">
      <c r="A362" s="60" t="n"/>
      <c r="B362" s="61">
        <f>IF(A362="","",TEXT(A362,"mmm yyyy"))</f>
        <v/>
      </c>
      <c r="C362" s="62" t="n"/>
      <c r="D362" s="62" t="n"/>
      <c r="E362" s="62" t="n"/>
      <c r="F362" s="62" t="n"/>
      <c r="G362" s="63" t="n"/>
      <c r="H362" s="62" t="n"/>
      <c r="K362">
        <f>IF($C362="","",IF(COUNTIF($C$3:$C362,$C362)=1,$C362,""))</f>
        <v/>
      </c>
      <c r="L362">
        <f>IF($K362="","",$M362+ROW()/10000000)</f>
        <v/>
      </c>
      <c r="M362">
        <f>IF($K362="","",SUMIF($C$3:$C$1002,$K362,$G$3:$G$1002))</f>
        <v/>
      </c>
      <c r="N362">
        <f>IF($K362="","",COUNTIF($C$3:$C$1002,$K362))</f>
        <v/>
      </c>
      <c r="P362">
        <f>IF($A362="","",$A362*100000+ROW())</f>
        <v/>
      </c>
    </row>
    <row r="363" ht="18" customHeight="1">
      <c r="A363" s="60" t="n"/>
      <c r="B363" s="61">
        <f>IF(A363="","",TEXT(A363,"mmm yyyy"))</f>
        <v/>
      </c>
      <c r="C363" s="62" t="n"/>
      <c r="D363" s="62" t="n"/>
      <c r="E363" s="62" t="n"/>
      <c r="F363" s="62" t="n"/>
      <c r="G363" s="63" t="n"/>
      <c r="H363" s="62" t="n"/>
      <c r="K363">
        <f>IF($C363="","",IF(COUNTIF($C$3:$C363,$C363)=1,$C363,""))</f>
        <v/>
      </c>
      <c r="L363">
        <f>IF($K363="","",$M363+ROW()/10000000)</f>
        <v/>
      </c>
      <c r="M363">
        <f>IF($K363="","",SUMIF($C$3:$C$1002,$K363,$G$3:$G$1002))</f>
        <v/>
      </c>
      <c r="N363">
        <f>IF($K363="","",COUNTIF($C$3:$C$1002,$K363))</f>
        <v/>
      </c>
      <c r="P363">
        <f>IF($A363="","",$A363*100000+ROW())</f>
        <v/>
      </c>
    </row>
    <row r="364" ht="18" customHeight="1">
      <c r="A364" s="60" t="n"/>
      <c r="B364" s="61">
        <f>IF(A364="","",TEXT(A364,"mmm yyyy"))</f>
        <v/>
      </c>
      <c r="C364" s="62" t="n"/>
      <c r="D364" s="62" t="n"/>
      <c r="E364" s="62" t="n"/>
      <c r="F364" s="62" t="n"/>
      <c r="G364" s="63" t="n"/>
      <c r="H364" s="62" t="n"/>
      <c r="K364">
        <f>IF($C364="","",IF(COUNTIF($C$3:$C364,$C364)=1,$C364,""))</f>
        <v/>
      </c>
      <c r="L364">
        <f>IF($K364="","",$M364+ROW()/10000000)</f>
        <v/>
      </c>
      <c r="M364">
        <f>IF($K364="","",SUMIF($C$3:$C$1002,$K364,$G$3:$G$1002))</f>
        <v/>
      </c>
      <c r="N364">
        <f>IF($K364="","",COUNTIF($C$3:$C$1002,$K364))</f>
        <v/>
      </c>
      <c r="P364">
        <f>IF($A364="","",$A364*100000+ROW())</f>
        <v/>
      </c>
    </row>
    <row r="365" ht="18" customHeight="1">
      <c r="A365" s="60" t="n"/>
      <c r="B365" s="61">
        <f>IF(A365="","",TEXT(A365,"mmm yyyy"))</f>
        <v/>
      </c>
      <c r="C365" s="62" t="n"/>
      <c r="D365" s="62" t="n"/>
      <c r="E365" s="62" t="n"/>
      <c r="F365" s="62" t="n"/>
      <c r="G365" s="63" t="n"/>
      <c r="H365" s="62" t="n"/>
      <c r="K365">
        <f>IF($C365="","",IF(COUNTIF($C$3:$C365,$C365)=1,$C365,""))</f>
        <v/>
      </c>
      <c r="L365">
        <f>IF($K365="","",$M365+ROW()/10000000)</f>
        <v/>
      </c>
      <c r="M365">
        <f>IF($K365="","",SUMIF($C$3:$C$1002,$K365,$G$3:$G$1002))</f>
        <v/>
      </c>
      <c r="N365">
        <f>IF($K365="","",COUNTIF($C$3:$C$1002,$K365))</f>
        <v/>
      </c>
      <c r="P365">
        <f>IF($A365="","",$A365*100000+ROW())</f>
        <v/>
      </c>
    </row>
    <row r="366" ht="18" customHeight="1">
      <c r="A366" s="60" t="n"/>
      <c r="B366" s="61">
        <f>IF(A366="","",TEXT(A366,"mmm yyyy"))</f>
        <v/>
      </c>
      <c r="C366" s="62" t="n"/>
      <c r="D366" s="62" t="n"/>
      <c r="E366" s="62" t="n"/>
      <c r="F366" s="62" t="n"/>
      <c r="G366" s="63" t="n"/>
      <c r="H366" s="62" t="n"/>
      <c r="K366">
        <f>IF($C366="","",IF(COUNTIF($C$3:$C366,$C366)=1,$C366,""))</f>
        <v/>
      </c>
      <c r="L366">
        <f>IF($K366="","",$M366+ROW()/10000000)</f>
        <v/>
      </c>
      <c r="M366">
        <f>IF($K366="","",SUMIF($C$3:$C$1002,$K366,$G$3:$G$1002))</f>
        <v/>
      </c>
      <c r="N366">
        <f>IF($K366="","",COUNTIF($C$3:$C$1002,$K366))</f>
        <v/>
      </c>
      <c r="P366">
        <f>IF($A366="","",$A366*100000+ROW())</f>
        <v/>
      </c>
    </row>
    <row r="367" ht="18" customHeight="1">
      <c r="A367" s="60" t="n"/>
      <c r="B367" s="61">
        <f>IF(A367="","",TEXT(A367,"mmm yyyy"))</f>
        <v/>
      </c>
      <c r="C367" s="62" t="n"/>
      <c r="D367" s="62" t="n"/>
      <c r="E367" s="62" t="n"/>
      <c r="F367" s="62" t="n"/>
      <c r="G367" s="63" t="n"/>
      <c r="H367" s="62" t="n"/>
      <c r="K367">
        <f>IF($C367="","",IF(COUNTIF($C$3:$C367,$C367)=1,$C367,""))</f>
        <v/>
      </c>
      <c r="L367">
        <f>IF($K367="","",$M367+ROW()/10000000)</f>
        <v/>
      </c>
      <c r="M367">
        <f>IF($K367="","",SUMIF($C$3:$C$1002,$K367,$G$3:$G$1002))</f>
        <v/>
      </c>
      <c r="N367">
        <f>IF($K367="","",COUNTIF($C$3:$C$1002,$K367))</f>
        <v/>
      </c>
      <c r="P367">
        <f>IF($A367="","",$A367*100000+ROW())</f>
        <v/>
      </c>
    </row>
    <row r="368" ht="18" customHeight="1">
      <c r="A368" s="60" t="n"/>
      <c r="B368" s="61">
        <f>IF(A368="","",TEXT(A368,"mmm yyyy"))</f>
        <v/>
      </c>
      <c r="C368" s="62" t="n"/>
      <c r="D368" s="62" t="n"/>
      <c r="E368" s="62" t="n"/>
      <c r="F368" s="62" t="n"/>
      <c r="G368" s="63" t="n"/>
      <c r="H368" s="62" t="n"/>
      <c r="K368">
        <f>IF($C368="","",IF(COUNTIF($C$3:$C368,$C368)=1,$C368,""))</f>
        <v/>
      </c>
      <c r="L368">
        <f>IF($K368="","",$M368+ROW()/10000000)</f>
        <v/>
      </c>
      <c r="M368">
        <f>IF($K368="","",SUMIF($C$3:$C$1002,$K368,$G$3:$G$1002))</f>
        <v/>
      </c>
      <c r="N368">
        <f>IF($K368="","",COUNTIF($C$3:$C$1002,$K368))</f>
        <v/>
      </c>
      <c r="P368">
        <f>IF($A368="","",$A368*100000+ROW())</f>
        <v/>
      </c>
    </row>
    <row r="369" ht="18" customHeight="1">
      <c r="A369" s="60" t="n"/>
      <c r="B369" s="61">
        <f>IF(A369="","",TEXT(A369,"mmm yyyy"))</f>
        <v/>
      </c>
      <c r="C369" s="62" t="n"/>
      <c r="D369" s="62" t="n"/>
      <c r="E369" s="62" t="n"/>
      <c r="F369" s="62" t="n"/>
      <c r="G369" s="63" t="n"/>
      <c r="H369" s="62" t="n"/>
      <c r="K369">
        <f>IF($C369="","",IF(COUNTIF($C$3:$C369,$C369)=1,$C369,""))</f>
        <v/>
      </c>
      <c r="L369">
        <f>IF($K369="","",$M369+ROW()/10000000)</f>
        <v/>
      </c>
      <c r="M369">
        <f>IF($K369="","",SUMIF($C$3:$C$1002,$K369,$G$3:$G$1002))</f>
        <v/>
      </c>
      <c r="N369">
        <f>IF($K369="","",COUNTIF($C$3:$C$1002,$K369))</f>
        <v/>
      </c>
      <c r="P369">
        <f>IF($A369="","",$A369*100000+ROW())</f>
        <v/>
      </c>
    </row>
    <row r="370" ht="18" customHeight="1">
      <c r="A370" s="60" t="n"/>
      <c r="B370" s="61">
        <f>IF(A370="","",TEXT(A370,"mmm yyyy"))</f>
        <v/>
      </c>
      <c r="C370" s="62" t="n"/>
      <c r="D370" s="62" t="n"/>
      <c r="E370" s="62" t="n"/>
      <c r="F370" s="62" t="n"/>
      <c r="G370" s="63" t="n"/>
      <c r="H370" s="62" t="n"/>
      <c r="K370">
        <f>IF($C370="","",IF(COUNTIF($C$3:$C370,$C370)=1,$C370,""))</f>
        <v/>
      </c>
      <c r="L370">
        <f>IF($K370="","",$M370+ROW()/10000000)</f>
        <v/>
      </c>
      <c r="M370">
        <f>IF($K370="","",SUMIF($C$3:$C$1002,$K370,$G$3:$G$1002))</f>
        <v/>
      </c>
      <c r="N370">
        <f>IF($K370="","",COUNTIF($C$3:$C$1002,$K370))</f>
        <v/>
      </c>
      <c r="P370">
        <f>IF($A370="","",$A370*100000+ROW())</f>
        <v/>
      </c>
    </row>
    <row r="371" ht="18" customHeight="1">
      <c r="A371" s="60" t="n"/>
      <c r="B371" s="61">
        <f>IF(A371="","",TEXT(A371,"mmm yyyy"))</f>
        <v/>
      </c>
      <c r="C371" s="62" t="n"/>
      <c r="D371" s="62" t="n"/>
      <c r="E371" s="62" t="n"/>
      <c r="F371" s="62" t="n"/>
      <c r="G371" s="63" t="n"/>
      <c r="H371" s="62" t="n"/>
      <c r="K371">
        <f>IF($C371="","",IF(COUNTIF($C$3:$C371,$C371)=1,$C371,""))</f>
        <v/>
      </c>
      <c r="L371">
        <f>IF($K371="","",$M371+ROW()/10000000)</f>
        <v/>
      </c>
      <c r="M371">
        <f>IF($K371="","",SUMIF($C$3:$C$1002,$K371,$G$3:$G$1002))</f>
        <v/>
      </c>
      <c r="N371">
        <f>IF($K371="","",COUNTIF($C$3:$C$1002,$K371))</f>
        <v/>
      </c>
      <c r="P371">
        <f>IF($A371="","",$A371*100000+ROW())</f>
        <v/>
      </c>
    </row>
    <row r="372" ht="18" customHeight="1">
      <c r="A372" s="60" t="n"/>
      <c r="B372" s="61">
        <f>IF(A372="","",TEXT(A372,"mmm yyyy"))</f>
        <v/>
      </c>
      <c r="C372" s="62" t="n"/>
      <c r="D372" s="62" t="n"/>
      <c r="E372" s="62" t="n"/>
      <c r="F372" s="62" t="n"/>
      <c r="G372" s="63" t="n"/>
      <c r="H372" s="62" t="n"/>
      <c r="K372">
        <f>IF($C372="","",IF(COUNTIF($C$3:$C372,$C372)=1,$C372,""))</f>
        <v/>
      </c>
      <c r="L372">
        <f>IF($K372="","",$M372+ROW()/10000000)</f>
        <v/>
      </c>
      <c r="M372">
        <f>IF($K372="","",SUMIF($C$3:$C$1002,$K372,$G$3:$G$1002))</f>
        <v/>
      </c>
      <c r="N372">
        <f>IF($K372="","",COUNTIF($C$3:$C$1002,$K372))</f>
        <v/>
      </c>
      <c r="P372">
        <f>IF($A372="","",$A372*100000+ROW())</f>
        <v/>
      </c>
    </row>
    <row r="373" ht="18" customHeight="1">
      <c r="A373" s="60" t="n"/>
      <c r="B373" s="61">
        <f>IF(A373="","",TEXT(A373,"mmm yyyy"))</f>
        <v/>
      </c>
      <c r="C373" s="62" t="n"/>
      <c r="D373" s="62" t="n"/>
      <c r="E373" s="62" t="n"/>
      <c r="F373" s="62" t="n"/>
      <c r="G373" s="63" t="n"/>
      <c r="H373" s="62" t="n"/>
      <c r="K373">
        <f>IF($C373="","",IF(COUNTIF($C$3:$C373,$C373)=1,$C373,""))</f>
        <v/>
      </c>
      <c r="L373">
        <f>IF($K373="","",$M373+ROW()/10000000)</f>
        <v/>
      </c>
      <c r="M373">
        <f>IF($K373="","",SUMIF($C$3:$C$1002,$K373,$G$3:$G$1002))</f>
        <v/>
      </c>
      <c r="N373">
        <f>IF($K373="","",COUNTIF($C$3:$C$1002,$K373))</f>
        <v/>
      </c>
      <c r="P373">
        <f>IF($A373="","",$A373*100000+ROW())</f>
        <v/>
      </c>
    </row>
    <row r="374" ht="18" customHeight="1">
      <c r="A374" s="60" t="n"/>
      <c r="B374" s="61">
        <f>IF(A374="","",TEXT(A374,"mmm yyyy"))</f>
        <v/>
      </c>
      <c r="C374" s="62" t="n"/>
      <c r="D374" s="62" t="n"/>
      <c r="E374" s="62" t="n"/>
      <c r="F374" s="62" t="n"/>
      <c r="G374" s="63" t="n"/>
      <c r="H374" s="62" t="n"/>
      <c r="K374">
        <f>IF($C374="","",IF(COUNTIF($C$3:$C374,$C374)=1,$C374,""))</f>
        <v/>
      </c>
      <c r="L374">
        <f>IF($K374="","",$M374+ROW()/10000000)</f>
        <v/>
      </c>
      <c r="M374">
        <f>IF($K374="","",SUMIF($C$3:$C$1002,$K374,$G$3:$G$1002))</f>
        <v/>
      </c>
      <c r="N374">
        <f>IF($K374="","",COUNTIF($C$3:$C$1002,$K374))</f>
        <v/>
      </c>
      <c r="P374">
        <f>IF($A374="","",$A374*100000+ROW())</f>
        <v/>
      </c>
    </row>
    <row r="375" ht="18" customHeight="1">
      <c r="A375" s="60" t="n"/>
      <c r="B375" s="61">
        <f>IF(A375="","",TEXT(A375,"mmm yyyy"))</f>
        <v/>
      </c>
      <c r="C375" s="62" t="n"/>
      <c r="D375" s="62" t="n"/>
      <c r="E375" s="62" t="n"/>
      <c r="F375" s="62" t="n"/>
      <c r="G375" s="63" t="n"/>
      <c r="H375" s="62" t="n"/>
      <c r="K375">
        <f>IF($C375="","",IF(COUNTIF($C$3:$C375,$C375)=1,$C375,""))</f>
        <v/>
      </c>
      <c r="L375">
        <f>IF($K375="","",$M375+ROW()/10000000)</f>
        <v/>
      </c>
      <c r="M375">
        <f>IF($K375="","",SUMIF($C$3:$C$1002,$K375,$G$3:$G$1002))</f>
        <v/>
      </c>
      <c r="N375">
        <f>IF($K375="","",COUNTIF($C$3:$C$1002,$K375))</f>
        <v/>
      </c>
      <c r="P375">
        <f>IF($A375="","",$A375*100000+ROW())</f>
        <v/>
      </c>
    </row>
    <row r="376" ht="18" customHeight="1">
      <c r="A376" s="60" t="n"/>
      <c r="B376" s="61">
        <f>IF(A376="","",TEXT(A376,"mmm yyyy"))</f>
        <v/>
      </c>
      <c r="C376" s="62" t="n"/>
      <c r="D376" s="62" t="n"/>
      <c r="E376" s="62" t="n"/>
      <c r="F376" s="62" t="n"/>
      <c r="G376" s="63" t="n"/>
      <c r="H376" s="62" t="n"/>
      <c r="K376">
        <f>IF($C376="","",IF(COUNTIF($C$3:$C376,$C376)=1,$C376,""))</f>
        <v/>
      </c>
      <c r="L376">
        <f>IF($K376="","",$M376+ROW()/10000000)</f>
        <v/>
      </c>
      <c r="M376">
        <f>IF($K376="","",SUMIF($C$3:$C$1002,$K376,$G$3:$G$1002))</f>
        <v/>
      </c>
      <c r="N376">
        <f>IF($K376="","",COUNTIF($C$3:$C$1002,$K376))</f>
        <v/>
      </c>
      <c r="P376">
        <f>IF($A376="","",$A376*100000+ROW())</f>
        <v/>
      </c>
    </row>
    <row r="377" ht="18" customHeight="1">
      <c r="A377" s="60" t="n"/>
      <c r="B377" s="61">
        <f>IF(A377="","",TEXT(A377,"mmm yyyy"))</f>
        <v/>
      </c>
      <c r="C377" s="62" t="n"/>
      <c r="D377" s="62" t="n"/>
      <c r="E377" s="62" t="n"/>
      <c r="F377" s="62" t="n"/>
      <c r="G377" s="63" t="n"/>
      <c r="H377" s="62" t="n"/>
      <c r="K377">
        <f>IF($C377="","",IF(COUNTIF($C$3:$C377,$C377)=1,$C377,""))</f>
        <v/>
      </c>
      <c r="L377">
        <f>IF($K377="","",$M377+ROW()/10000000)</f>
        <v/>
      </c>
      <c r="M377">
        <f>IF($K377="","",SUMIF($C$3:$C$1002,$K377,$G$3:$G$1002))</f>
        <v/>
      </c>
      <c r="N377">
        <f>IF($K377="","",COUNTIF($C$3:$C$1002,$K377))</f>
        <v/>
      </c>
      <c r="P377">
        <f>IF($A377="","",$A377*100000+ROW())</f>
        <v/>
      </c>
    </row>
    <row r="378" ht="18" customHeight="1">
      <c r="A378" s="60" t="n"/>
      <c r="B378" s="61">
        <f>IF(A378="","",TEXT(A378,"mmm yyyy"))</f>
        <v/>
      </c>
      <c r="C378" s="62" t="n"/>
      <c r="D378" s="62" t="n"/>
      <c r="E378" s="62" t="n"/>
      <c r="F378" s="62" t="n"/>
      <c r="G378" s="63" t="n"/>
      <c r="H378" s="62" t="n"/>
      <c r="K378">
        <f>IF($C378="","",IF(COUNTIF($C$3:$C378,$C378)=1,$C378,""))</f>
        <v/>
      </c>
      <c r="L378">
        <f>IF($K378="","",$M378+ROW()/10000000)</f>
        <v/>
      </c>
      <c r="M378">
        <f>IF($K378="","",SUMIF($C$3:$C$1002,$K378,$G$3:$G$1002))</f>
        <v/>
      </c>
      <c r="N378">
        <f>IF($K378="","",COUNTIF($C$3:$C$1002,$K378))</f>
        <v/>
      </c>
      <c r="P378">
        <f>IF($A378="","",$A378*100000+ROW())</f>
        <v/>
      </c>
    </row>
    <row r="379" ht="18" customHeight="1">
      <c r="A379" s="60" t="n"/>
      <c r="B379" s="61">
        <f>IF(A379="","",TEXT(A379,"mmm yyyy"))</f>
        <v/>
      </c>
      <c r="C379" s="62" t="n"/>
      <c r="D379" s="62" t="n"/>
      <c r="E379" s="62" t="n"/>
      <c r="F379" s="62" t="n"/>
      <c r="G379" s="63" t="n"/>
      <c r="H379" s="62" t="n"/>
      <c r="K379">
        <f>IF($C379="","",IF(COUNTIF($C$3:$C379,$C379)=1,$C379,""))</f>
        <v/>
      </c>
      <c r="L379">
        <f>IF($K379="","",$M379+ROW()/10000000)</f>
        <v/>
      </c>
      <c r="M379">
        <f>IF($K379="","",SUMIF($C$3:$C$1002,$K379,$G$3:$G$1002))</f>
        <v/>
      </c>
      <c r="N379">
        <f>IF($K379="","",COUNTIF($C$3:$C$1002,$K379))</f>
        <v/>
      </c>
      <c r="P379">
        <f>IF($A379="","",$A379*100000+ROW())</f>
        <v/>
      </c>
    </row>
    <row r="380" ht="18" customHeight="1">
      <c r="A380" s="60" t="n"/>
      <c r="B380" s="61">
        <f>IF(A380="","",TEXT(A380,"mmm yyyy"))</f>
        <v/>
      </c>
      <c r="C380" s="62" t="n"/>
      <c r="D380" s="62" t="n"/>
      <c r="E380" s="62" t="n"/>
      <c r="F380" s="62" t="n"/>
      <c r="G380" s="63" t="n"/>
      <c r="H380" s="62" t="n"/>
      <c r="K380">
        <f>IF($C380="","",IF(COUNTIF($C$3:$C380,$C380)=1,$C380,""))</f>
        <v/>
      </c>
      <c r="L380">
        <f>IF($K380="","",$M380+ROW()/10000000)</f>
        <v/>
      </c>
      <c r="M380">
        <f>IF($K380="","",SUMIF($C$3:$C$1002,$K380,$G$3:$G$1002))</f>
        <v/>
      </c>
      <c r="N380">
        <f>IF($K380="","",COUNTIF($C$3:$C$1002,$K380))</f>
        <v/>
      </c>
      <c r="P380">
        <f>IF($A380="","",$A380*100000+ROW())</f>
        <v/>
      </c>
    </row>
    <row r="381" ht="18" customHeight="1">
      <c r="A381" s="60" t="n"/>
      <c r="B381" s="61">
        <f>IF(A381="","",TEXT(A381,"mmm yyyy"))</f>
        <v/>
      </c>
      <c r="C381" s="62" t="n"/>
      <c r="D381" s="62" t="n"/>
      <c r="E381" s="62" t="n"/>
      <c r="F381" s="62" t="n"/>
      <c r="G381" s="63" t="n"/>
      <c r="H381" s="62" t="n"/>
      <c r="K381">
        <f>IF($C381="","",IF(COUNTIF($C$3:$C381,$C381)=1,$C381,""))</f>
        <v/>
      </c>
      <c r="L381">
        <f>IF($K381="","",$M381+ROW()/10000000)</f>
        <v/>
      </c>
      <c r="M381">
        <f>IF($K381="","",SUMIF($C$3:$C$1002,$K381,$G$3:$G$1002))</f>
        <v/>
      </c>
      <c r="N381">
        <f>IF($K381="","",COUNTIF($C$3:$C$1002,$K381))</f>
        <v/>
      </c>
      <c r="P381">
        <f>IF($A381="","",$A381*100000+ROW())</f>
        <v/>
      </c>
    </row>
    <row r="382" ht="18" customHeight="1">
      <c r="A382" s="60" t="n"/>
      <c r="B382" s="61">
        <f>IF(A382="","",TEXT(A382,"mmm yyyy"))</f>
        <v/>
      </c>
      <c r="C382" s="62" t="n"/>
      <c r="D382" s="62" t="n"/>
      <c r="E382" s="62" t="n"/>
      <c r="F382" s="62" t="n"/>
      <c r="G382" s="63" t="n"/>
      <c r="H382" s="62" t="n"/>
      <c r="K382">
        <f>IF($C382="","",IF(COUNTIF($C$3:$C382,$C382)=1,$C382,""))</f>
        <v/>
      </c>
      <c r="L382">
        <f>IF($K382="","",$M382+ROW()/10000000)</f>
        <v/>
      </c>
      <c r="M382">
        <f>IF($K382="","",SUMIF($C$3:$C$1002,$K382,$G$3:$G$1002))</f>
        <v/>
      </c>
      <c r="N382">
        <f>IF($K382="","",COUNTIF($C$3:$C$1002,$K382))</f>
        <v/>
      </c>
      <c r="P382">
        <f>IF($A382="","",$A382*100000+ROW())</f>
        <v/>
      </c>
    </row>
    <row r="383" ht="18" customHeight="1">
      <c r="A383" s="60" t="n"/>
      <c r="B383" s="61">
        <f>IF(A383="","",TEXT(A383,"mmm yyyy"))</f>
        <v/>
      </c>
      <c r="C383" s="62" t="n"/>
      <c r="D383" s="62" t="n"/>
      <c r="E383" s="62" t="n"/>
      <c r="F383" s="62" t="n"/>
      <c r="G383" s="63" t="n"/>
      <c r="H383" s="62" t="n"/>
      <c r="K383">
        <f>IF($C383="","",IF(COUNTIF($C$3:$C383,$C383)=1,$C383,""))</f>
        <v/>
      </c>
      <c r="L383">
        <f>IF($K383="","",$M383+ROW()/10000000)</f>
        <v/>
      </c>
      <c r="M383">
        <f>IF($K383="","",SUMIF($C$3:$C$1002,$K383,$G$3:$G$1002))</f>
        <v/>
      </c>
      <c r="N383">
        <f>IF($K383="","",COUNTIF($C$3:$C$1002,$K383))</f>
        <v/>
      </c>
      <c r="P383">
        <f>IF($A383="","",$A383*100000+ROW())</f>
        <v/>
      </c>
    </row>
    <row r="384" ht="18" customHeight="1">
      <c r="A384" s="60" t="n"/>
      <c r="B384" s="61">
        <f>IF(A384="","",TEXT(A384,"mmm yyyy"))</f>
        <v/>
      </c>
      <c r="C384" s="62" t="n"/>
      <c r="D384" s="62" t="n"/>
      <c r="E384" s="62" t="n"/>
      <c r="F384" s="62" t="n"/>
      <c r="G384" s="63" t="n"/>
      <c r="H384" s="62" t="n"/>
      <c r="K384">
        <f>IF($C384="","",IF(COUNTIF($C$3:$C384,$C384)=1,$C384,""))</f>
        <v/>
      </c>
      <c r="L384">
        <f>IF($K384="","",$M384+ROW()/10000000)</f>
        <v/>
      </c>
      <c r="M384">
        <f>IF($K384="","",SUMIF($C$3:$C$1002,$K384,$G$3:$G$1002))</f>
        <v/>
      </c>
      <c r="N384">
        <f>IF($K384="","",COUNTIF($C$3:$C$1002,$K384))</f>
        <v/>
      </c>
      <c r="P384">
        <f>IF($A384="","",$A384*100000+ROW())</f>
        <v/>
      </c>
    </row>
    <row r="385" ht="18" customHeight="1">
      <c r="A385" s="60" t="n"/>
      <c r="B385" s="61">
        <f>IF(A385="","",TEXT(A385,"mmm yyyy"))</f>
        <v/>
      </c>
      <c r="C385" s="62" t="n"/>
      <c r="D385" s="62" t="n"/>
      <c r="E385" s="62" t="n"/>
      <c r="F385" s="62" t="n"/>
      <c r="G385" s="63" t="n"/>
      <c r="H385" s="62" t="n"/>
      <c r="K385">
        <f>IF($C385="","",IF(COUNTIF($C$3:$C385,$C385)=1,$C385,""))</f>
        <v/>
      </c>
      <c r="L385">
        <f>IF($K385="","",$M385+ROW()/10000000)</f>
        <v/>
      </c>
      <c r="M385">
        <f>IF($K385="","",SUMIF($C$3:$C$1002,$K385,$G$3:$G$1002))</f>
        <v/>
      </c>
      <c r="N385">
        <f>IF($K385="","",COUNTIF($C$3:$C$1002,$K385))</f>
        <v/>
      </c>
      <c r="P385">
        <f>IF($A385="","",$A385*100000+ROW())</f>
        <v/>
      </c>
    </row>
    <row r="386" ht="18" customHeight="1">
      <c r="A386" s="60" t="n"/>
      <c r="B386" s="61">
        <f>IF(A386="","",TEXT(A386,"mmm yyyy"))</f>
        <v/>
      </c>
      <c r="C386" s="62" t="n"/>
      <c r="D386" s="62" t="n"/>
      <c r="E386" s="62" t="n"/>
      <c r="F386" s="62" t="n"/>
      <c r="G386" s="63" t="n"/>
      <c r="H386" s="62" t="n"/>
      <c r="K386">
        <f>IF($C386="","",IF(COUNTIF($C$3:$C386,$C386)=1,$C386,""))</f>
        <v/>
      </c>
      <c r="L386">
        <f>IF($K386="","",$M386+ROW()/10000000)</f>
        <v/>
      </c>
      <c r="M386">
        <f>IF($K386="","",SUMIF($C$3:$C$1002,$K386,$G$3:$G$1002))</f>
        <v/>
      </c>
      <c r="N386">
        <f>IF($K386="","",COUNTIF($C$3:$C$1002,$K386))</f>
        <v/>
      </c>
      <c r="P386">
        <f>IF($A386="","",$A386*100000+ROW())</f>
        <v/>
      </c>
    </row>
    <row r="387" ht="18" customHeight="1">
      <c r="A387" s="60" t="n"/>
      <c r="B387" s="61">
        <f>IF(A387="","",TEXT(A387,"mmm yyyy"))</f>
        <v/>
      </c>
      <c r="C387" s="62" t="n"/>
      <c r="D387" s="62" t="n"/>
      <c r="E387" s="62" t="n"/>
      <c r="F387" s="62" t="n"/>
      <c r="G387" s="63" t="n"/>
      <c r="H387" s="62" t="n"/>
      <c r="K387">
        <f>IF($C387="","",IF(COUNTIF($C$3:$C387,$C387)=1,$C387,""))</f>
        <v/>
      </c>
      <c r="L387">
        <f>IF($K387="","",$M387+ROW()/10000000)</f>
        <v/>
      </c>
      <c r="M387">
        <f>IF($K387="","",SUMIF($C$3:$C$1002,$K387,$G$3:$G$1002))</f>
        <v/>
      </c>
      <c r="N387">
        <f>IF($K387="","",COUNTIF($C$3:$C$1002,$K387))</f>
        <v/>
      </c>
      <c r="P387">
        <f>IF($A387="","",$A387*100000+ROW())</f>
        <v/>
      </c>
    </row>
    <row r="388" ht="18" customHeight="1">
      <c r="A388" s="60" t="n"/>
      <c r="B388" s="61">
        <f>IF(A388="","",TEXT(A388,"mmm yyyy"))</f>
        <v/>
      </c>
      <c r="C388" s="62" t="n"/>
      <c r="D388" s="62" t="n"/>
      <c r="E388" s="62" t="n"/>
      <c r="F388" s="62" t="n"/>
      <c r="G388" s="63" t="n"/>
      <c r="H388" s="62" t="n"/>
      <c r="K388">
        <f>IF($C388="","",IF(COUNTIF($C$3:$C388,$C388)=1,$C388,""))</f>
        <v/>
      </c>
      <c r="L388">
        <f>IF($K388="","",$M388+ROW()/10000000)</f>
        <v/>
      </c>
      <c r="M388">
        <f>IF($K388="","",SUMIF($C$3:$C$1002,$K388,$G$3:$G$1002))</f>
        <v/>
      </c>
      <c r="N388">
        <f>IF($K388="","",COUNTIF($C$3:$C$1002,$K388))</f>
        <v/>
      </c>
      <c r="P388">
        <f>IF($A388="","",$A388*100000+ROW())</f>
        <v/>
      </c>
    </row>
    <row r="389" ht="18" customHeight="1">
      <c r="A389" s="60" t="n"/>
      <c r="B389" s="61">
        <f>IF(A389="","",TEXT(A389,"mmm yyyy"))</f>
        <v/>
      </c>
      <c r="C389" s="62" t="n"/>
      <c r="D389" s="62" t="n"/>
      <c r="E389" s="62" t="n"/>
      <c r="F389" s="62" t="n"/>
      <c r="G389" s="63" t="n"/>
      <c r="H389" s="62" t="n"/>
      <c r="K389">
        <f>IF($C389="","",IF(COUNTIF($C$3:$C389,$C389)=1,$C389,""))</f>
        <v/>
      </c>
      <c r="L389">
        <f>IF($K389="","",$M389+ROW()/10000000)</f>
        <v/>
      </c>
      <c r="M389">
        <f>IF($K389="","",SUMIF($C$3:$C$1002,$K389,$G$3:$G$1002))</f>
        <v/>
      </c>
      <c r="N389">
        <f>IF($K389="","",COUNTIF($C$3:$C$1002,$K389))</f>
        <v/>
      </c>
      <c r="P389">
        <f>IF($A389="","",$A389*100000+ROW())</f>
        <v/>
      </c>
    </row>
    <row r="390" ht="18" customHeight="1">
      <c r="A390" s="60" t="n"/>
      <c r="B390" s="61">
        <f>IF(A390="","",TEXT(A390,"mmm yyyy"))</f>
        <v/>
      </c>
      <c r="C390" s="62" t="n"/>
      <c r="D390" s="62" t="n"/>
      <c r="E390" s="62" t="n"/>
      <c r="F390" s="62" t="n"/>
      <c r="G390" s="63" t="n"/>
      <c r="H390" s="62" t="n"/>
      <c r="K390">
        <f>IF($C390="","",IF(COUNTIF($C$3:$C390,$C390)=1,$C390,""))</f>
        <v/>
      </c>
      <c r="L390">
        <f>IF($K390="","",$M390+ROW()/10000000)</f>
        <v/>
      </c>
      <c r="M390">
        <f>IF($K390="","",SUMIF($C$3:$C$1002,$K390,$G$3:$G$1002))</f>
        <v/>
      </c>
      <c r="N390">
        <f>IF($K390="","",COUNTIF($C$3:$C$1002,$K390))</f>
        <v/>
      </c>
      <c r="P390">
        <f>IF($A390="","",$A390*100000+ROW())</f>
        <v/>
      </c>
    </row>
    <row r="391" ht="18" customHeight="1">
      <c r="A391" s="60" t="n"/>
      <c r="B391" s="61">
        <f>IF(A391="","",TEXT(A391,"mmm yyyy"))</f>
        <v/>
      </c>
      <c r="C391" s="62" t="n"/>
      <c r="D391" s="62" t="n"/>
      <c r="E391" s="62" t="n"/>
      <c r="F391" s="62" t="n"/>
      <c r="G391" s="63" t="n"/>
      <c r="H391" s="62" t="n"/>
      <c r="K391">
        <f>IF($C391="","",IF(COUNTIF($C$3:$C391,$C391)=1,$C391,""))</f>
        <v/>
      </c>
      <c r="L391">
        <f>IF($K391="","",$M391+ROW()/10000000)</f>
        <v/>
      </c>
      <c r="M391">
        <f>IF($K391="","",SUMIF($C$3:$C$1002,$K391,$G$3:$G$1002))</f>
        <v/>
      </c>
      <c r="N391">
        <f>IF($K391="","",COUNTIF($C$3:$C$1002,$K391))</f>
        <v/>
      </c>
      <c r="P391">
        <f>IF($A391="","",$A391*100000+ROW())</f>
        <v/>
      </c>
    </row>
    <row r="392" ht="18" customHeight="1">
      <c r="A392" s="60" t="n"/>
      <c r="B392" s="61">
        <f>IF(A392="","",TEXT(A392,"mmm yyyy"))</f>
        <v/>
      </c>
      <c r="C392" s="62" t="n"/>
      <c r="D392" s="62" t="n"/>
      <c r="E392" s="62" t="n"/>
      <c r="F392" s="62" t="n"/>
      <c r="G392" s="63" t="n"/>
      <c r="H392" s="62" t="n"/>
      <c r="K392">
        <f>IF($C392="","",IF(COUNTIF($C$3:$C392,$C392)=1,$C392,""))</f>
        <v/>
      </c>
      <c r="L392">
        <f>IF($K392="","",$M392+ROW()/10000000)</f>
        <v/>
      </c>
      <c r="M392">
        <f>IF($K392="","",SUMIF($C$3:$C$1002,$K392,$G$3:$G$1002))</f>
        <v/>
      </c>
      <c r="N392">
        <f>IF($K392="","",COUNTIF($C$3:$C$1002,$K392))</f>
        <v/>
      </c>
      <c r="P392">
        <f>IF($A392="","",$A392*100000+ROW())</f>
        <v/>
      </c>
    </row>
    <row r="393" ht="18" customHeight="1">
      <c r="A393" s="60" t="n"/>
      <c r="B393" s="61">
        <f>IF(A393="","",TEXT(A393,"mmm yyyy"))</f>
        <v/>
      </c>
      <c r="C393" s="62" t="n"/>
      <c r="D393" s="62" t="n"/>
      <c r="E393" s="62" t="n"/>
      <c r="F393" s="62" t="n"/>
      <c r="G393" s="63" t="n"/>
      <c r="H393" s="62" t="n"/>
      <c r="K393">
        <f>IF($C393="","",IF(COUNTIF($C$3:$C393,$C393)=1,$C393,""))</f>
        <v/>
      </c>
      <c r="L393">
        <f>IF($K393="","",$M393+ROW()/10000000)</f>
        <v/>
      </c>
      <c r="M393">
        <f>IF($K393="","",SUMIF($C$3:$C$1002,$K393,$G$3:$G$1002))</f>
        <v/>
      </c>
      <c r="N393">
        <f>IF($K393="","",COUNTIF($C$3:$C$1002,$K393))</f>
        <v/>
      </c>
      <c r="P393">
        <f>IF($A393="","",$A393*100000+ROW())</f>
        <v/>
      </c>
    </row>
    <row r="394" ht="18" customHeight="1">
      <c r="A394" s="60" t="n"/>
      <c r="B394" s="61">
        <f>IF(A394="","",TEXT(A394,"mmm yyyy"))</f>
        <v/>
      </c>
      <c r="C394" s="62" t="n"/>
      <c r="D394" s="62" t="n"/>
      <c r="E394" s="62" t="n"/>
      <c r="F394" s="62" t="n"/>
      <c r="G394" s="63" t="n"/>
      <c r="H394" s="62" t="n"/>
      <c r="K394">
        <f>IF($C394="","",IF(COUNTIF($C$3:$C394,$C394)=1,$C394,""))</f>
        <v/>
      </c>
      <c r="L394">
        <f>IF($K394="","",$M394+ROW()/10000000)</f>
        <v/>
      </c>
      <c r="M394">
        <f>IF($K394="","",SUMIF($C$3:$C$1002,$K394,$G$3:$G$1002))</f>
        <v/>
      </c>
      <c r="N394">
        <f>IF($K394="","",COUNTIF($C$3:$C$1002,$K394))</f>
        <v/>
      </c>
      <c r="P394">
        <f>IF($A394="","",$A394*100000+ROW())</f>
        <v/>
      </c>
    </row>
    <row r="395" ht="18" customHeight="1">
      <c r="A395" s="60" t="n"/>
      <c r="B395" s="61">
        <f>IF(A395="","",TEXT(A395,"mmm yyyy"))</f>
        <v/>
      </c>
      <c r="C395" s="62" t="n"/>
      <c r="D395" s="62" t="n"/>
      <c r="E395" s="62" t="n"/>
      <c r="F395" s="62" t="n"/>
      <c r="G395" s="63" t="n"/>
      <c r="H395" s="62" t="n"/>
      <c r="K395">
        <f>IF($C395="","",IF(COUNTIF($C$3:$C395,$C395)=1,$C395,""))</f>
        <v/>
      </c>
      <c r="L395">
        <f>IF($K395="","",$M395+ROW()/10000000)</f>
        <v/>
      </c>
      <c r="M395">
        <f>IF($K395="","",SUMIF($C$3:$C$1002,$K395,$G$3:$G$1002))</f>
        <v/>
      </c>
      <c r="N395">
        <f>IF($K395="","",COUNTIF($C$3:$C$1002,$K395))</f>
        <v/>
      </c>
      <c r="P395">
        <f>IF($A395="","",$A395*100000+ROW())</f>
        <v/>
      </c>
    </row>
    <row r="396" ht="18" customHeight="1">
      <c r="A396" s="60" t="n"/>
      <c r="B396" s="61">
        <f>IF(A396="","",TEXT(A396,"mmm yyyy"))</f>
        <v/>
      </c>
      <c r="C396" s="62" t="n"/>
      <c r="D396" s="62" t="n"/>
      <c r="E396" s="62" t="n"/>
      <c r="F396" s="62" t="n"/>
      <c r="G396" s="63" t="n"/>
      <c r="H396" s="62" t="n"/>
      <c r="K396">
        <f>IF($C396="","",IF(COUNTIF($C$3:$C396,$C396)=1,$C396,""))</f>
        <v/>
      </c>
      <c r="L396">
        <f>IF($K396="","",$M396+ROW()/10000000)</f>
        <v/>
      </c>
      <c r="M396">
        <f>IF($K396="","",SUMIF($C$3:$C$1002,$K396,$G$3:$G$1002))</f>
        <v/>
      </c>
      <c r="N396">
        <f>IF($K396="","",COUNTIF($C$3:$C$1002,$K396))</f>
        <v/>
      </c>
      <c r="P396">
        <f>IF($A396="","",$A396*100000+ROW())</f>
        <v/>
      </c>
    </row>
    <row r="397" ht="18" customHeight="1">
      <c r="A397" s="60" t="n"/>
      <c r="B397" s="61">
        <f>IF(A397="","",TEXT(A397,"mmm yyyy"))</f>
        <v/>
      </c>
      <c r="C397" s="62" t="n"/>
      <c r="D397" s="62" t="n"/>
      <c r="E397" s="62" t="n"/>
      <c r="F397" s="62" t="n"/>
      <c r="G397" s="63" t="n"/>
      <c r="H397" s="62" t="n"/>
      <c r="K397">
        <f>IF($C397="","",IF(COUNTIF($C$3:$C397,$C397)=1,$C397,""))</f>
        <v/>
      </c>
      <c r="L397">
        <f>IF($K397="","",$M397+ROW()/10000000)</f>
        <v/>
      </c>
      <c r="M397">
        <f>IF($K397="","",SUMIF($C$3:$C$1002,$K397,$G$3:$G$1002))</f>
        <v/>
      </c>
      <c r="N397">
        <f>IF($K397="","",COUNTIF($C$3:$C$1002,$K397))</f>
        <v/>
      </c>
      <c r="P397">
        <f>IF($A397="","",$A397*100000+ROW())</f>
        <v/>
      </c>
    </row>
    <row r="398" ht="18" customHeight="1">
      <c r="A398" s="60" t="n"/>
      <c r="B398" s="61">
        <f>IF(A398="","",TEXT(A398,"mmm yyyy"))</f>
        <v/>
      </c>
      <c r="C398" s="62" t="n"/>
      <c r="D398" s="62" t="n"/>
      <c r="E398" s="62" t="n"/>
      <c r="F398" s="62" t="n"/>
      <c r="G398" s="63" t="n"/>
      <c r="H398" s="62" t="n"/>
      <c r="K398">
        <f>IF($C398="","",IF(COUNTIF($C$3:$C398,$C398)=1,$C398,""))</f>
        <v/>
      </c>
      <c r="L398">
        <f>IF($K398="","",$M398+ROW()/10000000)</f>
        <v/>
      </c>
      <c r="M398">
        <f>IF($K398="","",SUMIF($C$3:$C$1002,$K398,$G$3:$G$1002))</f>
        <v/>
      </c>
      <c r="N398">
        <f>IF($K398="","",COUNTIF($C$3:$C$1002,$K398))</f>
        <v/>
      </c>
      <c r="P398">
        <f>IF($A398="","",$A398*100000+ROW())</f>
        <v/>
      </c>
    </row>
    <row r="399" ht="18" customHeight="1">
      <c r="A399" s="60" t="n"/>
      <c r="B399" s="61">
        <f>IF(A399="","",TEXT(A399,"mmm yyyy"))</f>
        <v/>
      </c>
      <c r="C399" s="62" t="n"/>
      <c r="D399" s="62" t="n"/>
      <c r="E399" s="62" t="n"/>
      <c r="F399" s="62" t="n"/>
      <c r="G399" s="63" t="n"/>
      <c r="H399" s="62" t="n"/>
      <c r="K399">
        <f>IF($C399="","",IF(COUNTIF($C$3:$C399,$C399)=1,$C399,""))</f>
        <v/>
      </c>
      <c r="L399">
        <f>IF($K399="","",$M399+ROW()/10000000)</f>
        <v/>
      </c>
      <c r="M399">
        <f>IF($K399="","",SUMIF($C$3:$C$1002,$K399,$G$3:$G$1002))</f>
        <v/>
      </c>
      <c r="N399">
        <f>IF($K399="","",COUNTIF($C$3:$C$1002,$K399))</f>
        <v/>
      </c>
      <c r="P399">
        <f>IF($A399="","",$A399*100000+ROW())</f>
        <v/>
      </c>
    </row>
    <row r="400" ht="18" customHeight="1">
      <c r="A400" s="60" t="n"/>
      <c r="B400" s="61">
        <f>IF(A400="","",TEXT(A400,"mmm yyyy"))</f>
        <v/>
      </c>
      <c r="C400" s="62" t="n"/>
      <c r="D400" s="62" t="n"/>
      <c r="E400" s="62" t="n"/>
      <c r="F400" s="62" t="n"/>
      <c r="G400" s="63" t="n"/>
      <c r="H400" s="62" t="n"/>
      <c r="K400">
        <f>IF($C400="","",IF(COUNTIF($C$3:$C400,$C400)=1,$C400,""))</f>
        <v/>
      </c>
      <c r="L400">
        <f>IF($K400="","",$M400+ROW()/10000000)</f>
        <v/>
      </c>
      <c r="M400">
        <f>IF($K400="","",SUMIF($C$3:$C$1002,$K400,$G$3:$G$1002))</f>
        <v/>
      </c>
      <c r="N400">
        <f>IF($K400="","",COUNTIF($C$3:$C$1002,$K400))</f>
        <v/>
      </c>
      <c r="P400">
        <f>IF($A400="","",$A400*100000+ROW())</f>
        <v/>
      </c>
    </row>
    <row r="401" ht="18" customHeight="1">
      <c r="A401" s="60" t="n"/>
      <c r="B401" s="61">
        <f>IF(A401="","",TEXT(A401,"mmm yyyy"))</f>
        <v/>
      </c>
      <c r="C401" s="62" t="n"/>
      <c r="D401" s="62" t="n"/>
      <c r="E401" s="62" t="n"/>
      <c r="F401" s="62" t="n"/>
      <c r="G401" s="63" t="n"/>
      <c r="H401" s="62" t="n"/>
      <c r="K401">
        <f>IF($C401="","",IF(COUNTIF($C$3:$C401,$C401)=1,$C401,""))</f>
        <v/>
      </c>
      <c r="L401">
        <f>IF($K401="","",$M401+ROW()/10000000)</f>
        <v/>
      </c>
      <c r="M401">
        <f>IF($K401="","",SUMIF($C$3:$C$1002,$K401,$G$3:$G$1002))</f>
        <v/>
      </c>
      <c r="N401">
        <f>IF($K401="","",COUNTIF($C$3:$C$1002,$K401))</f>
        <v/>
      </c>
      <c r="P401">
        <f>IF($A401="","",$A401*100000+ROW())</f>
        <v/>
      </c>
    </row>
    <row r="402" ht="18" customHeight="1">
      <c r="A402" s="60" t="n"/>
      <c r="B402" s="61">
        <f>IF(A402="","",TEXT(A402,"mmm yyyy"))</f>
        <v/>
      </c>
      <c r="C402" s="62" t="n"/>
      <c r="D402" s="62" t="n"/>
      <c r="E402" s="62" t="n"/>
      <c r="F402" s="62" t="n"/>
      <c r="G402" s="63" t="n"/>
      <c r="H402" s="62" t="n"/>
      <c r="K402">
        <f>IF($C402="","",IF(COUNTIF($C$3:$C402,$C402)=1,$C402,""))</f>
        <v/>
      </c>
      <c r="L402">
        <f>IF($K402="","",$M402+ROW()/10000000)</f>
        <v/>
      </c>
      <c r="M402">
        <f>IF($K402="","",SUMIF($C$3:$C$1002,$K402,$G$3:$G$1002))</f>
        <v/>
      </c>
      <c r="N402">
        <f>IF($K402="","",COUNTIF($C$3:$C$1002,$K402))</f>
        <v/>
      </c>
      <c r="P402">
        <f>IF($A402="","",$A402*100000+ROW())</f>
        <v/>
      </c>
    </row>
    <row r="403" ht="18" customHeight="1">
      <c r="A403" s="60" t="n"/>
      <c r="B403" s="61">
        <f>IF(A403="","",TEXT(A403,"mmm yyyy"))</f>
        <v/>
      </c>
      <c r="C403" s="62" t="n"/>
      <c r="D403" s="62" t="n"/>
      <c r="E403" s="62" t="n"/>
      <c r="F403" s="62" t="n"/>
      <c r="G403" s="63" t="n"/>
      <c r="H403" s="62" t="n"/>
      <c r="K403">
        <f>IF($C403="","",IF(COUNTIF($C$3:$C403,$C403)=1,$C403,""))</f>
        <v/>
      </c>
      <c r="L403">
        <f>IF($K403="","",$M403+ROW()/10000000)</f>
        <v/>
      </c>
      <c r="M403">
        <f>IF($K403="","",SUMIF($C$3:$C$1002,$K403,$G$3:$G$1002))</f>
        <v/>
      </c>
      <c r="N403">
        <f>IF($K403="","",COUNTIF($C$3:$C$1002,$K403))</f>
        <v/>
      </c>
      <c r="P403">
        <f>IF($A403="","",$A403*100000+ROW())</f>
        <v/>
      </c>
    </row>
    <row r="404" ht="18" customHeight="1">
      <c r="A404" s="60" t="n"/>
      <c r="B404" s="61">
        <f>IF(A404="","",TEXT(A404,"mmm yyyy"))</f>
        <v/>
      </c>
      <c r="C404" s="62" t="n"/>
      <c r="D404" s="62" t="n"/>
      <c r="E404" s="62" t="n"/>
      <c r="F404" s="62" t="n"/>
      <c r="G404" s="63" t="n"/>
      <c r="H404" s="62" t="n"/>
      <c r="K404">
        <f>IF($C404="","",IF(COUNTIF($C$3:$C404,$C404)=1,$C404,""))</f>
        <v/>
      </c>
      <c r="L404">
        <f>IF($K404="","",$M404+ROW()/10000000)</f>
        <v/>
      </c>
      <c r="M404">
        <f>IF($K404="","",SUMIF($C$3:$C$1002,$K404,$G$3:$G$1002))</f>
        <v/>
      </c>
      <c r="N404">
        <f>IF($K404="","",COUNTIF($C$3:$C$1002,$K404))</f>
        <v/>
      </c>
      <c r="P404">
        <f>IF($A404="","",$A404*100000+ROW())</f>
        <v/>
      </c>
    </row>
    <row r="405" ht="18" customHeight="1">
      <c r="A405" s="60" t="n"/>
      <c r="B405" s="61">
        <f>IF(A405="","",TEXT(A405,"mmm yyyy"))</f>
        <v/>
      </c>
      <c r="C405" s="62" t="n"/>
      <c r="D405" s="62" t="n"/>
      <c r="E405" s="62" t="n"/>
      <c r="F405" s="62" t="n"/>
      <c r="G405" s="63" t="n"/>
      <c r="H405" s="62" t="n"/>
      <c r="K405">
        <f>IF($C405="","",IF(COUNTIF($C$3:$C405,$C405)=1,$C405,""))</f>
        <v/>
      </c>
      <c r="L405">
        <f>IF($K405="","",$M405+ROW()/10000000)</f>
        <v/>
      </c>
      <c r="M405">
        <f>IF($K405="","",SUMIF($C$3:$C$1002,$K405,$G$3:$G$1002))</f>
        <v/>
      </c>
      <c r="N405">
        <f>IF($K405="","",COUNTIF($C$3:$C$1002,$K405))</f>
        <v/>
      </c>
      <c r="P405">
        <f>IF($A405="","",$A405*100000+ROW())</f>
        <v/>
      </c>
    </row>
    <row r="406" ht="18" customHeight="1">
      <c r="A406" s="60" t="n"/>
      <c r="B406" s="61">
        <f>IF(A406="","",TEXT(A406,"mmm yyyy"))</f>
        <v/>
      </c>
      <c r="C406" s="62" t="n"/>
      <c r="D406" s="62" t="n"/>
      <c r="E406" s="62" t="n"/>
      <c r="F406" s="62" t="n"/>
      <c r="G406" s="63" t="n"/>
      <c r="H406" s="62" t="n"/>
      <c r="K406">
        <f>IF($C406="","",IF(COUNTIF($C$3:$C406,$C406)=1,$C406,""))</f>
        <v/>
      </c>
      <c r="L406">
        <f>IF($K406="","",$M406+ROW()/10000000)</f>
        <v/>
      </c>
      <c r="M406">
        <f>IF($K406="","",SUMIF($C$3:$C$1002,$K406,$G$3:$G$1002))</f>
        <v/>
      </c>
      <c r="N406">
        <f>IF($K406="","",COUNTIF($C$3:$C$1002,$K406))</f>
        <v/>
      </c>
      <c r="P406">
        <f>IF($A406="","",$A406*100000+ROW())</f>
        <v/>
      </c>
    </row>
    <row r="407" ht="18" customHeight="1">
      <c r="A407" s="60" t="n"/>
      <c r="B407" s="61">
        <f>IF(A407="","",TEXT(A407,"mmm yyyy"))</f>
        <v/>
      </c>
      <c r="C407" s="62" t="n"/>
      <c r="D407" s="62" t="n"/>
      <c r="E407" s="62" t="n"/>
      <c r="F407" s="62" t="n"/>
      <c r="G407" s="63" t="n"/>
      <c r="H407" s="62" t="n"/>
      <c r="K407">
        <f>IF($C407="","",IF(COUNTIF($C$3:$C407,$C407)=1,$C407,""))</f>
        <v/>
      </c>
      <c r="L407">
        <f>IF($K407="","",$M407+ROW()/10000000)</f>
        <v/>
      </c>
      <c r="M407">
        <f>IF($K407="","",SUMIF($C$3:$C$1002,$K407,$G$3:$G$1002))</f>
        <v/>
      </c>
      <c r="N407">
        <f>IF($K407="","",COUNTIF($C$3:$C$1002,$K407))</f>
        <v/>
      </c>
      <c r="P407">
        <f>IF($A407="","",$A407*100000+ROW())</f>
        <v/>
      </c>
    </row>
    <row r="408" ht="18" customHeight="1">
      <c r="A408" s="60" t="n"/>
      <c r="B408" s="61">
        <f>IF(A408="","",TEXT(A408,"mmm yyyy"))</f>
        <v/>
      </c>
      <c r="C408" s="62" t="n"/>
      <c r="D408" s="62" t="n"/>
      <c r="E408" s="62" t="n"/>
      <c r="F408" s="62" t="n"/>
      <c r="G408" s="63" t="n"/>
      <c r="H408" s="62" t="n"/>
      <c r="K408">
        <f>IF($C408="","",IF(COUNTIF($C$3:$C408,$C408)=1,$C408,""))</f>
        <v/>
      </c>
      <c r="L408">
        <f>IF($K408="","",$M408+ROW()/10000000)</f>
        <v/>
      </c>
      <c r="M408">
        <f>IF($K408="","",SUMIF($C$3:$C$1002,$K408,$G$3:$G$1002))</f>
        <v/>
      </c>
      <c r="N408">
        <f>IF($K408="","",COUNTIF($C$3:$C$1002,$K408))</f>
        <v/>
      </c>
      <c r="P408">
        <f>IF($A408="","",$A408*100000+ROW())</f>
        <v/>
      </c>
    </row>
    <row r="409" ht="18" customHeight="1">
      <c r="A409" s="60" t="n"/>
      <c r="B409" s="61">
        <f>IF(A409="","",TEXT(A409,"mmm yyyy"))</f>
        <v/>
      </c>
      <c r="C409" s="62" t="n"/>
      <c r="D409" s="62" t="n"/>
      <c r="E409" s="62" t="n"/>
      <c r="F409" s="62" t="n"/>
      <c r="G409" s="63" t="n"/>
      <c r="H409" s="62" t="n"/>
      <c r="K409">
        <f>IF($C409="","",IF(COUNTIF($C$3:$C409,$C409)=1,$C409,""))</f>
        <v/>
      </c>
      <c r="L409">
        <f>IF($K409="","",$M409+ROW()/10000000)</f>
        <v/>
      </c>
      <c r="M409">
        <f>IF($K409="","",SUMIF($C$3:$C$1002,$K409,$G$3:$G$1002))</f>
        <v/>
      </c>
      <c r="N409">
        <f>IF($K409="","",COUNTIF($C$3:$C$1002,$K409))</f>
        <v/>
      </c>
      <c r="P409">
        <f>IF($A409="","",$A409*100000+ROW())</f>
        <v/>
      </c>
    </row>
    <row r="410" ht="18" customHeight="1">
      <c r="A410" s="60" t="n"/>
      <c r="B410" s="61">
        <f>IF(A410="","",TEXT(A410,"mmm yyyy"))</f>
        <v/>
      </c>
      <c r="C410" s="62" t="n"/>
      <c r="D410" s="62" t="n"/>
      <c r="E410" s="62" t="n"/>
      <c r="F410" s="62" t="n"/>
      <c r="G410" s="63" t="n"/>
      <c r="H410" s="62" t="n"/>
      <c r="K410">
        <f>IF($C410="","",IF(COUNTIF($C$3:$C410,$C410)=1,$C410,""))</f>
        <v/>
      </c>
      <c r="L410">
        <f>IF($K410="","",$M410+ROW()/10000000)</f>
        <v/>
      </c>
      <c r="M410">
        <f>IF($K410="","",SUMIF($C$3:$C$1002,$K410,$G$3:$G$1002))</f>
        <v/>
      </c>
      <c r="N410">
        <f>IF($K410="","",COUNTIF($C$3:$C$1002,$K410))</f>
        <v/>
      </c>
      <c r="P410">
        <f>IF($A410="","",$A410*100000+ROW())</f>
        <v/>
      </c>
    </row>
    <row r="411" ht="18" customHeight="1">
      <c r="A411" s="60" t="n"/>
      <c r="B411" s="61">
        <f>IF(A411="","",TEXT(A411,"mmm yyyy"))</f>
        <v/>
      </c>
      <c r="C411" s="62" t="n"/>
      <c r="D411" s="62" t="n"/>
      <c r="E411" s="62" t="n"/>
      <c r="F411" s="62" t="n"/>
      <c r="G411" s="63" t="n"/>
      <c r="H411" s="62" t="n"/>
      <c r="K411">
        <f>IF($C411="","",IF(COUNTIF($C$3:$C411,$C411)=1,$C411,""))</f>
        <v/>
      </c>
      <c r="L411">
        <f>IF($K411="","",$M411+ROW()/10000000)</f>
        <v/>
      </c>
      <c r="M411">
        <f>IF($K411="","",SUMIF($C$3:$C$1002,$K411,$G$3:$G$1002))</f>
        <v/>
      </c>
      <c r="N411">
        <f>IF($K411="","",COUNTIF($C$3:$C$1002,$K411))</f>
        <v/>
      </c>
      <c r="P411">
        <f>IF($A411="","",$A411*100000+ROW())</f>
        <v/>
      </c>
    </row>
    <row r="412" ht="18" customHeight="1">
      <c r="A412" s="60" t="n"/>
      <c r="B412" s="61">
        <f>IF(A412="","",TEXT(A412,"mmm yyyy"))</f>
        <v/>
      </c>
      <c r="C412" s="62" t="n"/>
      <c r="D412" s="62" t="n"/>
      <c r="E412" s="62" t="n"/>
      <c r="F412" s="62" t="n"/>
      <c r="G412" s="63" t="n"/>
      <c r="H412" s="62" t="n"/>
      <c r="K412">
        <f>IF($C412="","",IF(COUNTIF($C$3:$C412,$C412)=1,$C412,""))</f>
        <v/>
      </c>
      <c r="L412">
        <f>IF($K412="","",$M412+ROW()/10000000)</f>
        <v/>
      </c>
      <c r="M412">
        <f>IF($K412="","",SUMIF($C$3:$C$1002,$K412,$G$3:$G$1002))</f>
        <v/>
      </c>
      <c r="N412">
        <f>IF($K412="","",COUNTIF($C$3:$C$1002,$K412))</f>
        <v/>
      </c>
      <c r="P412">
        <f>IF($A412="","",$A412*100000+ROW())</f>
        <v/>
      </c>
    </row>
    <row r="413" ht="18" customHeight="1">
      <c r="A413" s="60" t="n"/>
      <c r="B413" s="61">
        <f>IF(A413="","",TEXT(A413,"mmm yyyy"))</f>
        <v/>
      </c>
      <c r="C413" s="62" t="n"/>
      <c r="D413" s="62" t="n"/>
      <c r="E413" s="62" t="n"/>
      <c r="F413" s="62" t="n"/>
      <c r="G413" s="63" t="n"/>
      <c r="H413" s="62" t="n"/>
      <c r="K413">
        <f>IF($C413="","",IF(COUNTIF($C$3:$C413,$C413)=1,$C413,""))</f>
        <v/>
      </c>
      <c r="L413">
        <f>IF($K413="","",$M413+ROW()/10000000)</f>
        <v/>
      </c>
      <c r="M413">
        <f>IF($K413="","",SUMIF($C$3:$C$1002,$K413,$G$3:$G$1002))</f>
        <v/>
      </c>
      <c r="N413">
        <f>IF($K413="","",COUNTIF($C$3:$C$1002,$K413))</f>
        <v/>
      </c>
      <c r="P413">
        <f>IF($A413="","",$A413*100000+ROW())</f>
        <v/>
      </c>
    </row>
    <row r="414" ht="18" customHeight="1">
      <c r="A414" s="60" t="n"/>
      <c r="B414" s="61">
        <f>IF(A414="","",TEXT(A414,"mmm yyyy"))</f>
        <v/>
      </c>
      <c r="C414" s="62" t="n"/>
      <c r="D414" s="62" t="n"/>
      <c r="E414" s="62" t="n"/>
      <c r="F414" s="62" t="n"/>
      <c r="G414" s="63" t="n"/>
      <c r="H414" s="62" t="n"/>
      <c r="K414">
        <f>IF($C414="","",IF(COUNTIF($C$3:$C414,$C414)=1,$C414,""))</f>
        <v/>
      </c>
      <c r="L414">
        <f>IF($K414="","",$M414+ROW()/10000000)</f>
        <v/>
      </c>
      <c r="M414">
        <f>IF($K414="","",SUMIF($C$3:$C$1002,$K414,$G$3:$G$1002))</f>
        <v/>
      </c>
      <c r="N414">
        <f>IF($K414="","",COUNTIF($C$3:$C$1002,$K414))</f>
        <v/>
      </c>
      <c r="P414">
        <f>IF($A414="","",$A414*100000+ROW())</f>
        <v/>
      </c>
    </row>
    <row r="415" ht="18" customHeight="1">
      <c r="A415" s="60" t="n"/>
      <c r="B415" s="61">
        <f>IF(A415="","",TEXT(A415,"mmm yyyy"))</f>
        <v/>
      </c>
      <c r="C415" s="62" t="n"/>
      <c r="D415" s="62" t="n"/>
      <c r="E415" s="62" t="n"/>
      <c r="F415" s="62" t="n"/>
      <c r="G415" s="63" t="n"/>
      <c r="H415" s="62" t="n"/>
      <c r="K415">
        <f>IF($C415="","",IF(COUNTIF($C$3:$C415,$C415)=1,$C415,""))</f>
        <v/>
      </c>
      <c r="L415">
        <f>IF($K415="","",$M415+ROW()/10000000)</f>
        <v/>
      </c>
      <c r="M415">
        <f>IF($K415="","",SUMIF($C$3:$C$1002,$K415,$G$3:$G$1002))</f>
        <v/>
      </c>
      <c r="N415">
        <f>IF($K415="","",COUNTIF($C$3:$C$1002,$K415))</f>
        <v/>
      </c>
      <c r="P415">
        <f>IF($A415="","",$A415*100000+ROW())</f>
        <v/>
      </c>
    </row>
    <row r="416" ht="18" customHeight="1">
      <c r="A416" s="60" t="n"/>
      <c r="B416" s="61">
        <f>IF(A416="","",TEXT(A416,"mmm yyyy"))</f>
        <v/>
      </c>
      <c r="C416" s="62" t="n"/>
      <c r="D416" s="62" t="n"/>
      <c r="E416" s="62" t="n"/>
      <c r="F416" s="62" t="n"/>
      <c r="G416" s="63" t="n"/>
      <c r="H416" s="62" t="n"/>
      <c r="K416">
        <f>IF($C416="","",IF(COUNTIF($C$3:$C416,$C416)=1,$C416,""))</f>
        <v/>
      </c>
      <c r="L416">
        <f>IF($K416="","",$M416+ROW()/10000000)</f>
        <v/>
      </c>
      <c r="M416">
        <f>IF($K416="","",SUMIF($C$3:$C$1002,$K416,$G$3:$G$1002))</f>
        <v/>
      </c>
      <c r="N416">
        <f>IF($K416="","",COUNTIF($C$3:$C$1002,$K416))</f>
        <v/>
      </c>
      <c r="P416">
        <f>IF($A416="","",$A416*100000+ROW())</f>
        <v/>
      </c>
    </row>
    <row r="417" ht="18" customHeight="1">
      <c r="A417" s="60" t="n"/>
      <c r="B417" s="61">
        <f>IF(A417="","",TEXT(A417,"mmm yyyy"))</f>
        <v/>
      </c>
      <c r="C417" s="62" t="n"/>
      <c r="D417" s="62" t="n"/>
      <c r="E417" s="62" t="n"/>
      <c r="F417" s="62" t="n"/>
      <c r="G417" s="63" t="n"/>
      <c r="H417" s="62" t="n"/>
      <c r="K417">
        <f>IF($C417="","",IF(COUNTIF($C$3:$C417,$C417)=1,$C417,""))</f>
        <v/>
      </c>
      <c r="L417">
        <f>IF($K417="","",$M417+ROW()/10000000)</f>
        <v/>
      </c>
      <c r="M417">
        <f>IF($K417="","",SUMIF($C$3:$C$1002,$K417,$G$3:$G$1002))</f>
        <v/>
      </c>
      <c r="N417">
        <f>IF($K417="","",COUNTIF($C$3:$C$1002,$K417))</f>
        <v/>
      </c>
      <c r="P417">
        <f>IF($A417="","",$A417*100000+ROW())</f>
        <v/>
      </c>
    </row>
    <row r="418" ht="18" customHeight="1">
      <c r="A418" s="60" t="n"/>
      <c r="B418" s="61">
        <f>IF(A418="","",TEXT(A418,"mmm yyyy"))</f>
        <v/>
      </c>
      <c r="C418" s="62" t="n"/>
      <c r="D418" s="62" t="n"/>
      <c r="E418" s="62" t="n"/>
      <c r="F418" s="62" t="n"/>
      <c r="G418" s="63" t="n"/>
      <c r="H418" s="62" t="n"/>
      <c r="K418">
        <f>IF($C418="","",IF(COUNTIF($C$3:$C418,$C418)=1,$C418,""))</f>
        <v/>
      </c>
      <c r="L418">
        <f>IF($K418="","",$M418+ROW()/10000000)</f>
        <v/>
      </c>
      <c r="M418">
        <f>IF($K418="","",SUMIF($C$3:$C$1002,$K418,$G$3:$G$1002))</f>
        <v/>
      </c>
      <c r="N418">
        <f>IF($K418="","",COUNTIF($C$3:$C$1002,$K418))</f>
        <v/>
      </c>
      <c r="P418">
        <f>IF($A418="","",$A418*100000+ROW())</f>
        <v/>
      </c>
    </row>
    <row r="419" ht="18" customHeight="1">
      <c r="A419" s="60" t="n"/>
      <c r="B419" s="61">
        <f>IF(A419="","",TEXT(A419,"mmm yyyy"))</f>
        <v/>
      </c>
      <c r="C419" s="62" t="n"/>
      <c r="D419" s="62" t="n"/>
      <c r="E419" s="62" t="n"/>
      <c r="F419" s="62" t="n"/>
      <c r="G419" s="63" t="n"/>
      <c r="H419" s="62" t="n"/>
      <c r="K419">
        <f>IF($C419="","",IF(COUNTIF($C$3:$C419,$C419)=1,$C419,""))</f>
        <v/>
      </c>
      <c r="L419">
        <f>IF($K419="","",$M419+ROW()/10000000)</f>
        <v/>
      </c>
      <c r="M419">
        <f>IF($K419="","",SUMIF($C$3:$C$1002,$K419,$G$3:$G$1002))</f>
        <v/>
      </c>
      <c r="N419">
        <f>IF($K419="","",COUNTIF($C$3:$C$1002,$K419))</f>
        <v/>
      </c>
      <c r="P419">
        <f>IF($A419="","",$A419*100000+ROW())</f>
        <v/>
      </c>
    </row>
    <row r="420" ht="18" customHeight="1">
      <c r="A420" s="60" t="n"/>
      <c r="B420" s="61">
        <f>IF(A420="","",TEXT(A420,"mmm yyyy"))</f>
        <v/>
      </c>
      <c r="C420" s="62" t="n"/>
      <c r="D420" s="62" t="n"/>
      <c r="E420" s="62" t="n"/>
      <c r="F420" s="62" t="n"/>
      <c r="G420" s="63" t="n"/>
      <c r="H420" s="62" t="n"/>
      <c r="K420">
        <f>IF($C420="","",IF(COUNTIF($C$3:$C420,$C420)=1,$C420,""))</f>
        <v/>
      </c>
      <c r="L420">
        <f>IF($K420="","",$M420+ROW()/10000000)</f>
        <v/>
      </c>
      <c r="M420">
        <f>IF($K420="","",SUMIF($C$3:$C$1002,$K420,$G$3:$G$1002))</f>
        <v/>
      </c>
      <c r="N420">
        <f>IF($K420="","",COUNTIF($C$3:$C$1002,$K420))</f>
        <v/>
      </c>
      <c r="P420">
        <f>IF($A420="","",$A420*100000+ROW())</f>
        <v/>
      </c>
    </row>
    <row r="421" ht="18" customHeight="1">
      <c r="A421" s="60" t="n"/>
      <c r="B421" s="61">
        <f>IF(A421="","",TEXT(A421,"mmm yyyy"))</f>
        <v/>
      </c>
      <c r="C421" s="62" t="n"/>
      <c r="D421" s="62" t="n"/>
      <c r="E421" s="62" t="n"/>
      <c r="F421" s="62" t="n"/>
      <c r="G421" s="63" t="n"/>
      <c r="H421" s="62" t="n"/>
      <c r="K421">
        <f>IF($C421="","",IF(COUNTIF($C$3:$C421,$C421)=1,$C421,""))</f>
        <v/>
      </c>
      <c r="L421">
        <f>IF($K421="","",$M421+ROW()/10000000)</f>
        <v/>
      </c>
      <c r="M421">
        <f>IF($K421="","",SUMIF($C$3:$C$1002,$K421,$G$3:$G$1002))</f>
        <v/>
      </c>
      <c r="N421">
        <f>IF($K421="","",COUNTIF($C$3:$C$1002,$K421))</f>
        <v/>
      </c>
      <c r="P421">
        <f>IF($A421="","",$A421*100000+ROW())</f>
        <v/>
      </c>
    </row>
    <row r="422" ht="18" customHeight="1">
      <c r="A422" s="60" t="n"/>
      <c r="B422" s="61">
        <f>IF(A422="","",TEXT(A422,"mmm yyyy"))</f>
        <v/>
      </c>
      <c r="C422" s="62" t="n"/>
      <c r="D422" s="62" t="n"/>
      <c r="E422" s="62" t="n"/>
      <c r="F422" s="62" t="n"/>
      <c r="G422" s="63" t="n"/>
      <c r="H422" s="62" t="n"/>
      <c r="K422">
        <f>IF($C422="","",IF(COUNTIF($C$3:$C422,$C422)=1,$C422,""))</f>
        <v/>
      </c>
      <c r="L422">
        <f>IF($K422="","",$M422+ROW()/10000000)</f>
        <v/>
      </c>
      <c r="M422">
        <f>IF($K422="","",SUMIF($C$3:$C$1002,$K422,$G$3:$G$1002))</f>
        <v/>
      </c>
      <c r="N422">
        <f>IF($K422="","",COUNTIF($C$3:$C$1002,$K422))</f>
        <v/>
      </c>
      <c r="P422">
        <f>IF($A422="","",$A422*100000+ROW())</f>
        <v/>
      </c>
    </row>
    <row r="423" ht="18" customHeight="1">
      <c r="A423" s="60" t="n"/>
      <c r="B423" s="61">
        <f>IF(A423="","",TEXT(A423,"mmm yyyy"))</f>
        <v/>
      </c>
      <c r="C423" s="62" t="n"/>
      <c r="D423" s="62" t="n"/>
      <c r="E423" s="62" t="n"/>
      <c r="F423" s="62" t="n"/>
      <c r="G423" s="63" t="n"/>
      <c r="H423" s="62" t="n"/>
      <c r="K423">
        <f>IF($C423="","",IF(COUNTIF($C$3:$C423,$C423)=1,$C423,""))</f>
        <v/>
      </c>
      <c r="L423">
        <f>IF($K423="","",$M423+ROW()/10000000)</f>
        <v/>
      </c>
      <c r="M423">
        <f>IF($K423="","",SUMIF($C$3:$C$1002,$K423,$G$3:$G$1002))</f>
        <v/>
      </c>
      <c r="N423">
        <f>IF($K423="","",COUNTIF($C$3:$C$1002,$K423))</f>
        <v/>
      </c>
      <c r="P423">
        <f>IF($A423="","",$A423*100000+ROW())</f>
        <v/>
      </c>
    </row>
    <row r="424" ht="18" customHeight="1">
      <c r="A424" s="60" t="n"/>
      <c r="B424" s="61">
        <f>IF(A424="","",TEXT(A424,"mmm yyyy"))</f>
        <v/>
      </c>
      <c r="C424" s="62" t="n"/>
      <c r="D424" s="62" t="n"/>
      <c r="E424" s="62" t="n"/>
      <c r="F424" s="62" t="n"/>
      <c r="G424" s="63" t="n"/>
      <c r="H424" s="62" t="n"/>
      <c r="K424">
        <f>IF($C424="","",IF(COUNTIF($C$3:$C424,$C424)=1,$C424,""))</f>
        <v/>
      </c>
      <c r="L424">
        <f>IF($K424="","",$M424+ROW()/10000000)</f>
        <v/>
      </c>
      <c r="M424">
        <f>IF($K424="","",SUMIF($C$3:$C$1002,$K424,$G$3:$G$1002))</f>
        <v/>
      </c>
      <c r="N424">
        <f>IF($K424="","",COUNTIF($C$3:$C$1002,$K424))</f>
        <v/>
      </c>
      <c r="P424">
        <f>IF($A424="","",$A424*100000+ROW())</f>
        <v/>
      </c>
    </row>
    <row r="425" ht="18" customHeight="1">
      <c r="A425" s="60" t="n"/>
      <c r="B425" s="61">
        <f>IF(A425="","",TEXT(A425,"mmm yyyy"))</f>
        <v/>
      </c>
      <c r="C425" s="62" t="n"/>
      <c r="D425" s="62" t="n"/>
      <c r="E425" s="62" t="n"/>
      <c r="F425" s="62" t="n"/>
      <c r="G425" s="63" t="n"/>
      <c r="H425" s="62" t="n"/>
      <c r="K425">
        <f>IF($C425="","",IF(COUNTIF($C$3:$C425,$C425)=1,$C425,""))</f>
        <v/>
      </c>
      <c r="L425">
        <f>IF($K425="","",$M425+ROW()/10000000)</f>
        <v/>
      </c>
      <c r="M425">
        <f>IF($K425="","",SUMIF($C$3:$C$1002,$K425,$G$3:$G$1002))</f>
        <v/>
      </c>
      <c r="N425">
        <f>IF($K425="","",COUNTIF($C$3:$C$1002,$K425))</f>
        <v/>
      </c>
      <c r="P425">
        <f>IF($A425="","",$A425*100000+ROW())</f>
        <v/>
      </c>
    </row>
    <row r="426" ht="18" customHeight="1">
      <c r="A426" s="60" t="n"/>
      <c r="B426" s="61">
        <f>IF(A426="","",TEXT(A426,"mmm yyyy"))</f>
        <v/>
      </c>
      <c r="C426" s="62" t="n"/>
      <c r="D426" s="62" t="n"/>
      <c r="E426" s="62" t="n"/>
      <c r="F426" s="62" t="n"/>
      <c r="G426" s="63" t="n"/>
      <c r="H426" s="62" t="n"/>
      <c r="K426">
        <f>IF($C426="","",IF(COUNTIF($C$3:$C426,$C426)=1,$C426,""))</f>
        <v/>
      </c>
      <c r="L426">
        <f>IF($K426="","",$M426+ROW()/10000000)</f>
        <v/>
      </c>
      <c r="M426">
        <f>IF($K426="","",SUMIF($C$3:$C$1002,$K426,$G$3:$G$1002))</f>
        <v/>
      </c>
      <c r="N426">
        <f>IF($K426="","",COUNTIF($C$3:$C$1002,$K426))</f>
        <v/>
      </c>
      <c r="P426">
        <f>IF($A426="","",$A426*100000+ROW())</f>
        <v/>
      </c>
    </row>
    <row r="427" ht="18" customHeight="1">
      <c r="A427" s="60" t="n"/>
      <c r="B427" s="61">
        <f>IF(A427="","",TEXT(A427,"mmm yyyy"))</f>
        <v/>
      </c>
      <c r="C427" s="62" t="n"/>
      <c r="D427" s="62" t="n"/>
      <c r="E427" s="62" t="n"/>
      <c r="F427" s="62" t="n"/>
      <c r="G427" s="63" t="n"/>
      <c r="H427" s="62" t="n"/>
      <c r="K427">
        <f>IF($C427="","",IF(COUNTIF($C$3:$C427,$C427)=1,$C427,""))</f>
        <v/>
      </c>
      <c r="L427">
        <f>IF($K427="","",$M427+ROW()/10000000)</f>
        <v/>
      </c>
      <c r="M427">
        <f>IF($K427="","",SUMIF($C$3:$C$1002,$K427,$G$3:$G$1002))</f>
        <v/>
      </c>
      <c r="N427">
        <f>IF($K427="","",COUNTIF($C$3:$C$1002,$K427))</f>
        <v/>
      </c>
      <c r="P427">
        <f>IF($A427="","",$A427*100000+ROW())</f>
        <v/>
      </c>
    </row>
    <row r="428" ht="18" customHeight="1">
      <c r="A428" s="60" t="n"/>
      <c r="B428" s="61">
        <f>IF(A428="","",TEXT(A428,"mmm yyyy"))</f>
        <v/>
      </c>
      <c r="C428" s="62" t="n"/>
      <c r="D428" s="62" t="n"/>
      <c r="E428" s="62" t="n"/>
      <c r="F428" s="62" t="n"/>
      <c r="G428" s="63" t="n"/>
      <c r="H428" s="62" t="n"/>
      <c r="K428">
        <f>IF($C428="","",IF(COUNTIF($C$3:$C428,$C428)=1,$C428,""))</f>
        <v/>
      </c>
      <c r="L428">
        <f>IF($K428="","",$M428+ROW()/10000000)</f>
        <v/>
      </c>
      <c r="M428">
        <f>IF($K428="","",SUMIF($C$3:$C$1002,$K428,$G$3:$G$1002))</f>
        <v/>
      </c>
      <c r="N428">
        <f>IF($K428="","",COUNTIF($C$3:$C$1002,$K428))</f>
        <v/>
      </c>
      <c r="P428">
        <f>IF($A428="","",$A428*100000+ROW())</f>
        <v/>
      </c>
    </row>
    <row r="429" ht="18" customHeight="1">
      <c r="A429" s="60" t="n"/>
      <c r="B429" s="61">
        <f>IF(A429="","",TEXT(A429,"mmm yyyy"))</f>
        <v/>
      </c>
      <c r="C429" s="62" t="n"/>
      <c r="D429" s="62" t="n"/>
      <c r="E429" s="62" t="n"/>
      <c r="F429" s="62" t="n"/>
      <c r="G429" s="63" t="n"/>
      <c r="H429" s="62" t="n"/>
      <c r="K429">
        <f>IF($C429="","",IF(COUNTIF($C$3:$C429,$C429)=1,$C429,""))</f>
        <v/>
      </c>
      <c r="L429">
        <f>IF($K429="","",$M429+ROW()/10000000)</f>
        <v/>
      </c>
      <c r="M429">
        <f>IF($K429="","",SUMIF($C$3:$C$1002,$K429,$G$3:$G$1002))</f>
        <v/>
      </c>
      <c r="N429">
        <f>IF($K429="","",COUNTIF($C$3:$C$1002,$K429))</f>
        <v/>
      </c>
      <c r="P429">
        <f>IF($A429="","",$A429*100000+ROW())</f>
        <v/>
      </c>
    </row>
    <row r="430" ht="18" customHeight="1">
      <c r="A430" s="60" t="n"/>
      <c r="B430" s="61">
        <f>IF(A430="","",TEXT(A430,"mmm yyyy"))</f>
        <v/>
      </c>
      <c r="C430" s="62" t="n"/>
      <c r="D430" s="62" t="n"/>
      <c r="E430" s="62" t="n"/>
      <c r="F430" s="62" t="n"/>
      <c r="G430" s="63" t="n"/>
      <c r="H430" s="62" t="n"/>
      <c r="K430">
        <f>IF($C430="","",IF(COUNTIF($C$3:$C430,$C430)=1,$C430,""))</f>
        <v/>
      </c>
      <c r="L430">
        <f>IF($K430="","",$M430+ROW()/10000000)</f>
        <v/>
      </c>
      <c r="M430">
        <f>IF($K430="","",SUMIF($C$3:$C$1002,$K430,$G$3:$G$1002))</f>
        <v/>
      </c>
      <c r="N430">
        <f>IF($K430="","",COUNTIF($C$3:$C$1002,$K430))</f>
        <v/>
      </c>
      <c r="P430">
        <f>IF($A430="","",$A430*100000+ROW())</f>
        <v/>
      </c>
    </row>
    <row r="431" ht="18" customHeight="1">
      <c r="A431" s="60" t="n"/>
      <c r="B431" s="61">
        <f>IF(A431="","",TEXT(A431,"mmm yyyy"))</f>
        <v/>
      </c>
      <c r="C431" s="62" t="n"/>
      <c r="D431" s="62" t="n"/>
      <c r="E431" s="62" t="n"/>
      <c r="F431" s="62" t="n"/>
      <c r="G431" s="63" t="n"/>
      <c r="H431" s="62" t="n"/>
      <c r="K431">
        <f>IF($C431="","",IF(COUNTIF($C$3:$C431,$C431)=1,$C431,""))</f>
        <v/>
      </c>
      <c r="L431">
        <f>IF($K431="","",$M431+ROW()/10000000)</f>
        <v/>
      </c>
      <c r="M431">
        <f>IF($K431="","",SUMIF($C$3:$C$1002,$K431,$G$3:$G$1002))</f>
        <v/>
      </c>
      <c r="N431">
        <f>IF($K431="","",COUNTIF($C$3:$C$1002,$K431))</f>
        <v/>
      </c>
      <c r="P431">
        <f>IF($A431="","",$A431*100000+ROW())</f>
        <v/>
      </c>
    </row>
    <row r="432" ht="18" customHeight="1">
      <c r="A432" s="60" t="n"/>
      <c r="B432" s="61">
        <f>IF(A432="","",TEXT(A432,"mmm yyyy"))</f>
        <v/>
      </c>
      <c r="C432" s="62" t="n"/>
      <c r="D432" s="62" t="n"/>
      <c r="E432" s="62" t="n"/>
      <c r="F432" s="62" t="n"/>
      <c r="G432" s="63" t="n"/>
      <c r="H432" s="62" t="n"/>
      <c r="K432">
        <f>IF($C432="","",IF(COUNTIF($C$3:$C432,$C432)=1,$C432,""))</f>
        <v/>
      </c>
      <c r="L432">
        <f>IF($K432="","",$M432+ROW()/10000000)</f>
        <v/>
      </c>
      <c r="M432">
        <f>IF($K432="","",SUMIF($C$3:$C$1002,$K432,$G$3:$G$1002))</f>
        <v/>
      </c>
      <c r="N432">
        <f>IF($K432="","",COUNTIF($C$3:$C$1002,$K432))</f>
        <v/>
      </c>
      <c r="P432">
        <f>IF($A432="","",$A432*100000+ROW())</f>
        <v/>
      </c>
    </row>
    <row r="433" ht="18" customHeight="1">
      <c r="A433" s="60" t="n"/>
      <c r="B433" s="61">
        <f>IF(A433="","",TEXT(A433,"mmm yyyy"))</f>
        <v/>
      </c>
      <c r="C433" s="62" t="n"/>
      <c r="D433" s="62" t="n"/>
      <c r="E433" s="62" t="n"/>
      <c r="F433" s="62" t="n"/>
      <c r="G433" s="63" t="n"/>
      <c r="H433" s="62" t="n"/>
      <c r="K433">
        <f>IF($C433="","",IF(COUNTIF($C$3:$C433,$C433)=1,$C433,""))</f>
        <v/>
      </c>
      <c r="L433">
        <f>IF($K433="","",$M433+ROW()/10000000)</f>
        <v/>
      </c>
      <c r="M433">
        <f>IF($K433="","",SUMIF($C$3:$C$1002,$K433,$G$3:$G$1002))</f>
        <v/>
      </c>
      <c r="N433">
        <f>IF($K433="","",COUNTIF($C$3:$C$1002,$K433))</f>
        <v/>
      </c>
      <c r="P433">
        <f>IF($A433="","",$A433*100000+ROW())</f>
        <v/>
      </c>
    </row>
    <row r="434" ht="18" customHeight="1">
      <c r="A434" s="60" t="n"/>
      <c r="B434" s="61">
        <f>IF(A434="","",TEXT(A434,"mmm yyyy"))</f>
        <v/>
      </c>
      <c r="C434" s="62" t="n"/>
      <c r="D434" s="62" t="n"/>
      <c r="E434" s="62" t="n"/>
      <c r="F434" s="62" t="n"/>
      <c r="G434" s="63" t="n"/>
      <c r="H434" s="62" t="n"/>
      <c r="K434">
        <f>IF($C434="","",IF(COUNTIF($C$3:$C434,$C434)=1,$C434,""))</f>
        <v/>
      </c>
      <c r="L434">
        <f>IF($K434="","",$M434+ROW()/10000000)</f>
        <v/>
      </c>
      <c r="M434">
        <f>IF($K434="","",SUMIF($C$3:$C$1002,$K434,$G$3:$G$1002))</f>
        <v/>
      </c>
      <c r="N434">
        <f>IF($K434="","",COUNTIF($C$3:$C$1002,$K434))</f>
        <v/>
      </c>
      <c r="P434">
        <f>IF($A434="","",$A434*100000+ROW())</f>
        <v/>
      </c>
    </row>
    <row r="435" ht="18" customHeight="1">
      <c r="A435" s="60" t="n"/>
      <c r="B435" s="61">
        <f>IF(A435="","",TEXT(A435,"mmm yyyy"))</f>
        <v/>
      </c>
      <c r="C435" s="62" t="n"/>
      <c r="D435" s="62" t="n"/>
      <c r="E435" s="62" t="n"/>
      <c r="F435" s="62" t="n"/>
      <c r="G435" s="63" t="n"/>
      <c r="H435" s="62" t="n"/>
      <c r="K435">
        <f>IF($C435="","",IF(COUNTIF($C$3:$C435,$C435)=1,$C435,""))</f>
        <v/>
      </c>
      <c r="L435">
        <f>IF($K435="","",$M435+ROW()/10000000)</f>
        <v/>
      </c>
      <c r="M435">
        <f>IF($K435="","",SUMIF($C$3:$C$1002,$K435,$G$3:$G$1002))</f>
        <v/>
      </c>
      <c r="N435">
        <f>IF($K435="","",COUNTIF($C$3:$C$1002,$K435))</f>
        <v/>
      </c>
      <c r="P435">
        <f>IF($A435="","",$A435*100000+ROW())</f>
        <v/>
      </c>
    </row>
    <row r="436" ht="18" customHeight="1">
      <c r="A436" s="60" t="n"/>
      <c r="B436" s="61">
        <f>IF(A436="","",TEXT(A436,"mmm yyyy"))</f>
        <v/>
      </c>
      <c r="C436" s="62" t="n"/>
      <c r="D436" s="62" t="n"/>
      <c r="E436" s="62" t="n"/>
      <c r="F436" s="62" t="n"/>
      <c r="G436" s="63" t="n"/>
      <c r="H436" s="62" t="n"/>
      <c r="K436">
        <f>IF($C436="","",IF(COUNTIF($C$3:$C436,$C436)=1,$C436,""))</f>
        <v/>
      </c>
      <c r="L436">
        <f>IF($K436="","",$M436+ROW()/10000000)</f>
        <v/>
      </c>
      <c r="M436">
        <f>IF($K436="","",SUMIF($C$3:$C$1002,$K436,$G$3:$G$1002))</f>
        <v/>
      </c>
      <c r="N436">
        <f>IF($K436="","",COUNTIF($C$3:$C$1002,$K436))</f>
        <v/>
      </c>
      <c r="P436">
        <f>IF($A436="","",$A436*100000+ROW())</f>
        <v/>
      </c>
    </row>
    <row r="437" ht="18" customHeight="1">
      <c r="A437" s="60" t="n"/>
      <c r="B437" s="61">
        <f>IF(A437="","",TEXT(A437,"mmm yyyy"))</f>
        <v/>
      </c>
      <c r="C437" s="62" t="n"/>
      <c r="D437" s="62" t="n"/>
      <c r="E437" s="62" t="n"/>
      <c r="F437" s="62" t="n"/>
      <c r="G437" s="63" t="n"/>
      <c r="H437" s="62" t="n"/>
      <c r="K437">
        <f>IF($C437="","",IF(COUNTIF($C$3:$C437,$C437)=1,$C437,""))</f>
        <v/>
      </c>
      <c r="L437">
        <f>IF($K437="","",$M437+ROW()/10000000)</f>
        <v/>
      </c>
      <c r="M437">
        <f>IF($K437="","",SUMIF($C$3:$C$1002,$K437,$G$3:$G$1002))</f>
        <v/>
      </c>
      <c r="N437">
        <f>IF($K437="","",COUNTIF($C$3:$C$1002,$K437))</f>
        <v/>
      </c>
      <c r="P437">
        <f>IF($A437="","",$A437*100000+ROW())</f>
        <v/>
      </c>
    </row>
    <row r="438" ht="18" customHeight="1">
      <c r="A438" s="60" t="n"/>
      <c r="B438" s="61">
        <f>IF(A438="","",TEXT(A438,"mmm yyyy"))</f>
        <v/>
      </c>
      <c r="C438" s="62" t="n"/>
      <c r="D438" s="62" t="n"/>
      <c r="E438" s="62" t="n"/>
      <c r="F438" s="62" t="n"/>
      <c r="G438" s="63" t="n"/>
      <c r="H438" s="62" t="n"/>
      <c r="K438">
        <f>IF($C438="","",IF(COUNTIF($C$3:$C438,$C438)=1,$C438,""))</f>
        <v/>
      </c>
      <c r="L438">
        <f>IF($K438="","",$M438+ROW()/10000000)</f>
        <v/>
      </c>
      <c r="M438">
        <f>IF($K438="","",SUMIF($C$3:$C$1002,$K438,$G$3:$G$1002))</f>
        <v/>
      </c>
      <c r="N438">
        <f>IF($K438="","",COUNTIF($C$3:$C$1002,$K438))</f>
        <v/>
      </c>
      <c r="P438">
        <f>IF($A438="","",$A438*100000+ROW())</f>
        <v/>
      </c>
    </row>
    <row r="439" ht="18" customHeight="1">
      <c r="A439" s="60" t="n"/>
      <c r="B439" s="61">
        <f>IF(A439="","",TEXT(A439,"mmm yyyy"))</f>
        <v/>
      </c>
      <c r="C439" s="62" t="n"/>
      <c r="D439" s="62" t="n"/>
      <c r="E439" s="62" t="n"/>
      <c r="F439" s="62" t="n"/>
      <c r="G439" s="63" t="n"/>
      <c r="H439" s="62" t="n"/>
      <c r="K439">
        <f>IF($C439="","",IF(COUNTIF($C$3:$C439,$C439)=1,$C439,""))</f>
        <v/>
      </c>
      <c r="L439">
        <f>IF($K439="","",$M439+ROW()/10000000)</f>
        <v/>
      </c>
      <c r="M439">
        <f>IF($K439="","",SUMIF($C$3:$C$1002,$K439,$G$3:$G$1002))</f>
        <v/>
      </c>
      <c r="N439">
        <f>IF($K439="","",COUNTIF($C$3:$C$1002,$K439))</f>
        <v/>
      </c>
      <c r="P439">
        <f>IF($A439="","",$A439*100000+ROW())</f>
        <v/>
      </c>
    </row>
    <row r="440" ht="18" customHeight="1">
      <c r="A440" s="60" t="n"/>
      <c r="B440" s="61">
        <f>IF(A440="","",TEXT(A440,"mmm yyyy"))</f>
        <v/>
      </c>
      <c r="C440" s="62" t="n"/>
      <c r="D440" s="62" t="n"/>
      <c r="E440" s="62" t="n"/>
      <c r="F440" s="62" t="n"/>
      <c r="G440" s="63" t="n"/>
      <c r="H440" s="62" t="n"/>
      <c r="K440">
        <f>IF($C440="","",IF(COUNTIF($C$3:$C440,$C440)=1,$C440,""))</f>
        <v/>
      </c>
      <c r="L440">
        <f>IF($K440="","",$M440+ROW()/10000000)</f>
        <v/>
      </c>
      <c r="M440">
        <f>IF($K440="","",SUMIF($C$3:$C$1002,$K440,$G$3:$G$1002))</f>
        <v/>
      </c>
      <c r="N440">
        <f>IF($K440="","",COUNTIF($C$3:$C$1002,$K440))</f>
        <v/>
      </c>
      <c r="P440">
        <f>IF($A440="","",$A440*100000+ROW())</f>
        <v/>
      </c>
    </row>
    <row r="441" ht="18" customHeight="1">
      <c r="A441" s="60" t="n"/>
      <c r="B441" s="61">
        <f>IF(A441="","",TEXT(A441,"mmm yyyy"))</f>
        <v/>
      </c>
      <c r="C441" s="62" t="n"/>
      <c r="D441" s="62" t="n"/>
      <c r="E441" s="62" t="n"/>
      <c r="F441" s="62" t="n"/>
      <c r="G441" s="63" t="n"/>
      <c r="H441" s="62" t="n"/>
      <c r="K441">
        <f>IF($C441="","",IF(COUNTIF($C$3:$C441,$C441)=1,$C441,""))</f>
        <v/>
      </c>
      <c r="L441">
        <f>IF($K441="","",$M441+ROW()/10000000)</f>
        <v/>
      </c>
      <c r="M441">
        <f>IF($K441="","",SUMIF($C$3:$C$1002,$K441,$G$3:$G$1002))</f>
        <v/>
      </c>
      <c r="N441">
        <f>IF($K441="","",COUNTIF($C$3:$C$1002,$K441))</f>
        <v/>
      </c>
      <c r="P441">
        <f>IF($A441="","",$A441*100000+ROW())</f>
        <v/>
      </c>
    </row>
    <row r="442" ht="18" customHeight="1">
      <c r="A442" s="60" t="n"/>
      <c r="B442" s="61">
        <f>IF(A442="","",TEXT(A442,"mmm yyyy"))</f>
        <v/>
      </c>
      <c r="C442" s="62" t="n"/>
      <c r="D442" s="62" t="n"/>
      <c r="E442" s="62" t="n"/>
      <c r="F442" s="62" t="n"/>
      <c r="G442" s="63" t="n"/>
      <c r="H442" s="62" t="n"/>
      <c r="K442">
        <f>IF($C442="","",IF(COUNTIF($C$3:$C442,$C442)=1,$C442,""))</f>
        <v/>
      </c>
      <c r="L442">
        <f>IF($K442="","",$M442+ROW()/10000000)</f>
        <v/>
      </c>
      <c r="M442">
        <f>IF($K442="","",SUMIF($C$3:$C$1002,$K442,$G$3:$G$1002))</f>
        <v/>
      </c>
      <c r="N442">
        <f>IF($K442="","",COUNTIF($C$3:$C$1002,$K442))</f>
        <v/>
      </c>
      <c r="P442">
        <f>IF($A442="","",$A442*100000+ROW())</f>
        <v/>
      </c>
    </row>
    <row r="443" ht="18" customHeight="1">
      <c r="A443" s="60" t="n"/>
      <c r="B443" s="61">
        <f>IF(A443="","",TEXT(A443,"mmm yyyy"))</f>
        <v/>
      </c>
      <c r="C443" s="62" t="n"/>
      <c r="D443" s="62" t="n"/>
      <c r="E443" s="62" t="n"/>
      <c r="F443" s="62" t="n"/>
      <c r="G443" s="63" t="n"/>
      <c r="H443" s="62" t="n"/>
      <c r="K443">
        <f>IF($C443="","",IF(COUNTIF($C$3:$C443,$C443)=1,$C443,""))</f>
        <v/>
      </c>
      <c r="L443">
        <f>IF($K443="","",$M443+ROW()/10000000)</f>
        <v/>
      </c>
      <c r="M443">
        <f>IF($K443="","",SUMIF($C$3:$C$1002,$K443,$G$3:$G$1002))</f>
        <v/>
      </c>
      <c r="N443">
        <f>IF($K443="","",COUNTIF($C$3:$C$1002,$K443))</f>
        <v/>
      </c>
      <c r="P443">
        <f>IF($A443="","",$A443*100000+ROW())</f>
        <v/>
      </c>
    </row>
    <row r="444" ht="18" customHeight="1">
      <c r="A444" s="60" t="n"/>
      <c r="B444" s="61">
        <f>IF(A444="","",TEXT(A444,"mmm yyyy"))</f>
        <v/>
      </c>
      <c r="C444" s="62" t="n"/>
      <c r="D444" s="62" t="n"/>
      <c r="E444" s="62" t="n"/>
      <c r="F444" s="62" t="n"/>
      <c r="G444" s="63" t="n"/>
      <c r="H444" s="62" t="n"/>
      <c r="K444">
        <f>IF($C444="","",IF(COUNTIF($C$3:$C444,$C444)=1,$C444,""))</f>
        <v/>
      </c>
      <c r="L444">
        <f>IF($K444="","",$M444+ROW()/10000000)</f>
        <v/>
      </c>
      <c r="M444">
        <f>IF($K444="","",SUMIF($C$3:$C$1002,$K444,$G$3:$G$1002))</f>
        <v/>
      </c>
      <c r="N444">
        <f>IF($K444="","",COUNTIF($C$3:$C$1002,$K444))</f>
        <v/>
      </c>
      <c r="P444">
        <f>IF($A444="","",$A444*100000+ROW())</f>
        <v/>
      </c>
    </row>
    <row r="445" ht="18" customHeight="1">
      <c r="A445" s="60" t="n"/>
      <c r="B445" s="61">
        <f>IF(A445="","",TEXT(A445,"mmm yyyy"))</f>
        <v/>
      </c>
      <c r="C445" s="62" t="n"/>
      <c r="D445" s="62" t="n"/>
      <c r="E445" s="62" t="n"/>
      <c r="F445" s="62" t="n"/>
      <c r="G445" s="63" t="n"/>
      <c r="H445" s="62" t="n"/>
      <c r="K445">
        <f>IF($C445="","",IF(COUNTIF($C$3:$C445,$C445)=1,$C445,""))</f>
        <v/>
      </c>
      <c r="L445">
        <f>IF($K445="","",$M445+ROW()/10000000)</f>
        <v/>
      </c>
      <c r="M445">
        <f>IF($K445="","",SUMIF($C$3:$C$1002,$K445,$G$3:$G$1002))</f>
        <v/>
      </c>
      <c r="N445">
        <f>IF($K445="","",COUNTIF($C$3:$C$1002,$K445))</f>
        <v/>
      </c>
      <c r="P445">
        <f>IF($A445="","",$A445*100000+ROW())</f>
        <v/>
      </c>
    </row>
    <row r="446" ht="18" customHeight="1">
      <c r="A446" s="60" t="n"/>
      <c r="B446" s="61">
        <f>IF(A446="","",TEXT(A446,"mmm yyyy"))</f>
        <v/>
      </c>
      <c r="C446" s="62" t="n"/>
      <c r="D446" s="62" t="n"/>
      <c r="E446" s="62" t="n"/>
      <c r="F446" s="62" t="n"/>
      <c r="G446" s="63" t="n"/>
      <c r="H446" s="62" t="n"/>
      <c r="K446">
        <f>IF($C446="","",IF(COUNTIF($C$3:$C446,$C446)=1,$C446,""))</f>
        <v/>
      </c>
      <c r="L446">
        <f>IF($K446="","",$M446+ROW()/10000000)</f>
        <v/>
      </c>
      <c r="M446">
        <f>IF($K446="","",SUMIF($C$3:$C$1002,$K446,$G$3:$G$1002))</f>
        <v/>
      </c>
      <c r="N446">
        <f>IF($K446="","",COUNTIF($C$3:$C$1002,$K446))</f>
        <v/>
      </c>
      <c r="P446">
        <f>IF($A446="","",$A446*100000+ROW())</f>
        <v/>
      </c>
    </row>
    <row r="447" ht="18" customHeight="1">
      <c r="A447" s="60" t="n"/>
      <c r="B447" s="61">
        <f>IF(A447="","",TEXT(A447,"mmm yyyy"))</f>
        <v/>
      </c>
      <c r="C447" s="62" t="n"/>
      <c r="D447" s="62" t="n"/>
      <c r="E447" s="62" t="n"/>
      <c r="F447" s="62" t="n"/>
      <c r="G447" s="63" t="n"/>
      <c r="H447" s="62" t="n"/>
      <c r="K447">
        <f>IF($C447="","",IF(COUNTIF($C$3:$C447,$C447)=1,$C447,""))</f>
        <v/>
      </c>
      <c r="L447">
        <f>IF($K447="","",$M447+ROW()/10000000)</f>
        <v/>
      </c>
      <c r="M447">
        <f>IF($K447="","",SUMIF($C$3:$C$1002,$K447,$G$3:$G$1002))</f>
        <v/>
      </c>
      <c r="N447">
        <f>IF($K447="","",COUNTIF($C$3:$C$1002,$K447))</f>
        <v/>
      </c>
      <c r="P447">
        <f>IF($A447="","",$A447*100000+ROW())</f>
        <v/>
      </c>
    </row>
    <row r="448" ht="18" customHeight="1">
      <c r="A448" s="60" t="n"/>
      <c r="B448" s="61">
        <f>IF(A448="","",TEXT(A448,"mmm yyyy"))</f>
        <v/>
      </c>
      <c r="C448" s="62" t="n"/>
      <c r="D448" s="62" t="n"/>
      <c r="E448" s="62" t="n"/>
      <c r="F448" s="62" t="n"/>
      <c r="G448" s="63" t="n"/>
      <c r="H448" s="62" t="n"/>
      <c r="K448">
        <f>IF($C448="","",IF(COUNTIF($C$3:$C448,$C448)=1,$C448,""))</f>
        <v/>
      </c>
      <c r="L448">
        <f>IF($K448="","",$M448+ROW()/10000000)</f>
        <v/>
      </c>
      <c r="M448">
        <f>IF($K448="","",SUMIF($C$3:$C$1002,$K448,$G$3:$G$1002))</f>
        <v/>
      </c>
      <c r="N448">
        <f>IF($K448="","",COUNTIF($C$3:$C$1002,$K448))</f>
        <v/>
      </c>
      <c r="P448">
        <f>IF($A448="","",$A448*100000+ROW())</f>
        <v/>
      </c>
    </row>
    <row r="449" ht="18" customHeight="1">
      <c r="A449" s="60" t="n"/>
      <c r="B449" s="61">
        <f>IF(A449="","",TEXT(A449,"mmm yyyy"))</f>
        <v/>
      </c>
      <c r="C449" s="62" t="n"/>
      <c r="D449" s="62" t="n"/>
      <c r="E449" s="62" t="n"/>
      <c r="F449" s="62" t="n"/>
      <c r="G449" s="63" t="n"/>
      <c r="H449" s="62" t="n"/>
      <c r="K449">
        <f>IF($C449="","",IF(COUNTIF($C$3:$C449,$C449)=1,$C449,""))</f>
        <v/>
      </c>
      <c r="L449">
        <f>IF($K449="","",$M449+ROW()/10000000)</f>
        <v/>
      </c>
      <c r="M449">
        <f>IF($K449="","",SUMIF($C$3:$C$1002,$K449,$G$3:$G$1002))</f>
        <v/>
      </c>
      <c r="N449">
        <f>IF($K449="","",COUNTIF($C$3:$C$1002,$K449))</f>
        <v/>
      </c>
      <c r="P449">
        <f>IF($A449="","",$A449*100000+ROW())</f>
        <v/>
      </c>
    </row>
    <row r="450" ht="18" customHeight="1">
      <c r="A450" s="60" t="n"/>
      <c r="B450" s="61">
        <f>IF(A450="","",TEXT(A450,"mmm yyyy"))</f>
        <v/>
      </c>
      <c r="C450" s="62" t="n"/>
      <c r="D450" s="62" t="n"/>
      <c r="E450" s="62" t="n"/>
      <c r="F450" s="62" t="n"/>
      <c r="G450" s="63" t="n"/>
      <c r="H450" s="62" t="n"/>
      <c r="K450">
        <f>IF($C450="","",IF(COUNTIF($C$3:$C450,$C450)=1,$C450,""))</f>
        <v/>
      </c>
      <c r="L450">
        <f>IF($K450="","",$M450+ROW()/10000000)</f>
        <v/>
      </c>
      <c r="M450">
        <f>IF($K450="","",SUMIF($C$3:$C$1002,$K450,$G$3:$G$1002))</f>
        <v/>
      </c>
      <c r="N450">
        <f>IF($K450="","",COUNTIF($C$3:$C$1002,$K450))</f>
        <v/>
      </c>
      <c r="P450">
        <f>IF($A450="","",$A450*100000+ROW())</f>
        <v/>
      </c>
    </row>
    <row r="451" ht="18" customHeight="1">
      <c r="A451" s="60" t="n"/>
      <c r="B451" s="61">
        <f>IF(A451="","",TEXT(A451,"mmm yyyy"))</f>
        <v/>
      </c>
      <c r="C451" s="62" t="n"/>
      <c r="D451" s="62" t="n"/>
      <c r="E451" s="62" t="n"/>
      <c r="F451" s="62" t="n"/>
      <c r="G451" s="63" t="n"/>
      <c r="H451" s="62" t="n"/>
      <c r="K451">
        <f>IF($C451="","",IF(COUNTIF($C$3:$C451,$C451)=1,$C451,""))</f>
        <v/>
      </c>
      <c r="L451">
        <f>IF($K451="","",$M451+ROW()/10000000)</f>
        <v/>
      </c>
      <c r="M451">
        <f>IF($K451="","",SUMIF($C$3:$C$1002,$K451,$G$3:$G$1002))</f>
        <v/>
      </c>
      <c r="N451">
        <f>IF($K451="","",COUNTIF($C$3:$C$1002,$K451))</f>
        <v/>
      </c>
      <c r="P451">
        <f>IF($A451="","",$A451*100000+ROW())</f>
        <v/>
      </c>
    </row>
    <row r="452" ht="18" customHeight="1">
      <c r="A452" s="60" t="n"/>
      <c r="B452" s="61">
        <f>IF(A452="","",TEXT(A452,"mmm yyyy"))</f>
        <v/>
      </c>
      <c r="C452" s="62" t="n"/>
      <c r="D452" s="62" t="n"/>
      <c r="E452" s="62" t="n"/>
      <c r="F452" s="62" t="n"/>
      <c r="G452" s="63" t="n"/>
      <c r="H452" s="62" t="n"/>
      <c r="K452">
        <f>IF($C452="","",IF(COUNTIF($C$3:$C452,$C452)=1,$C452,""))</f>
        <v/>
      </c>
      <c r="L452">
        <f>IF($K452="","",$M452+ROW()/10000000)</f>
        <v/>
      </c>
      <c r="M452">
        <f>IF($K452="","",SUMIF($C$3:$C$1002,$K452,$G$3:$G$1002))</f>
        <v/>
      </c>
      <c r="N452">
        <f>IF($K452="","",COUNTIF($C$3:$C$1002,$K452))</f>
        <v/>
      </c>
      <c r="P452">
        <f>IF($A452="","",$A452*100000+ROW())</f>
        <v/>
      </c>
    </row>
    <row r="453" ht="18" customHeight="1">
      <c r="A453" s="60" t="n"/>
      <c r="B453" s="61">
        <f>IF(A453="","",TEXT(A453,"mmm yyyy"))</f>
        <v/>
      </c>
      <c r="C453" s="62" t="n"/>
      <c r="D453" s="62" t="n"/>
      <c r="E453" s="62" t="n"/>
      <c r="F453" s="62" t="n"/>
      <c r="G453" s="63" t="n"/>
      <c r="H453" s="62" t="n"/>
      <c r="K453">
        <f>IF($C453="","",IF(COUNTIF($C$3:$C453,$C453)=1,$C453,""))</f>
        <v/>
      </c>
      <c r="L453">
        <f>IF($K453="","",$M453+ROW()/10000000)</f>
        <v/>
      </c>
      <c r="M453">
        <f>IF($K453="","",SUMIF($C$3:$C$1002,$K453,$G$3:$G$1002))</f>
        <v/>
      </c>
      <c r="N453">
        <f>IF($K453="","",COUNTIF($C$3:$C$1002,$K453))</f>
        <v/>
      </c>
      <c r="P453">
        <f>IF($A453="","",$A453*100000+ROW())</f>
        <v/>
      </c>
    </row>
    <row r="454" ht="18" customHeight="1">
      <c r="A454" s="60" t="n"/>
      <c r="B454" s="61">
        <f>IF(A454="","",TEXT(A454,"mmm yyyy"))</f>
        <v/>
      </c>
      <c r="C454" s="62" t="n"/>
      <c r="D454" s="62" t="n"/>
      <c r="E454" s="62" t="n"/>
      <c r="F454" s="62" t="n"/>
      <c r="G454" s="63" t="n"/>
      <c r="H454" s="62" t="n"/>
      <c r="K454">
        <f>IF($C454="","",IF(COUNTIF($C$3:$C454,$C454)=1,$C454,""))</f>
        <v/>
      </c>
      <c r="L454">
        <f>IF($K454="","",$M454+ROW()/10000000)</f>
        <v/>
      </c>
      <c r="M454">
        <f>IF($K454="","",SUMIF($C$3:$C$1002,$K454,$G$3:$G$1002))</f>
        <v/>
      </c>
      <c r="N454">
        <f>IF($K454="","",COUNTIF($C$3:$C$1002,$K454))</f>
        <v/>
      </c>
      <c r="P454">
        <f>IF($A454="","",$A454*100000+ROW())</f>
        <v/>
      </c>
    </row>
    <row r="455" ht="18" customHeight="1">
      <c r="A455" s="60" t="n"/>
      <c r="B455" s="61">
        <f>IF(A455="","",TEXT(A455,"mmm yyyy"))</f>
        <v/>
      </c>
      <c r="C455" s="62" t="n"/>
      <c r="D455" s="62" t="n"/>
      <c r="E455" s="62" t="n"/>
      <c r="F455" s="62" t="n"/>
      <c r="G455" s="63" t="n"/>
      <c r="H455" s="62" t="n"/>
      <c r="K455">
        <f>IF($C455="","",IF(COUNTIF($C$3:$C455,$C455)=1,$C455,""))</f>
        <v/>
      </c>
      <c r="L455">
        <f>IF($K455="","",$M455+ROW()/10000000)</f>
        <v/>
      </c>
      <c r="M455">
        <f>IF($K455="","",SUMIF($C$3:$C$1002,$K455,$G$3:$G$1002))</f>
        <v/>
      </c>
      <c r="N455">
        <f>IF($K455="","",COUNTIF($C$3:$C$1002,$K455))</f>
        <v/>
      </c>
      <c r="P455">
        <f>IF($A455="","",$A455*100000+ROW())</f>
        <v/>
      </c>
    </row>
    <row r="456" ht="18" customHeight="1">
      <c r="A456" s="60" t="n"/>
      <c r="B456" s="61">
        <f>IF(A456="","",TEXT(A456,"mmm yyyy"))</f>
        <v/>
      </c>
      <c r="C456" s="62" t="n"/>
      <c r="D456" s="62" t="n"/>
      <c r="E456" s="62" t="n"/>
      <c r="F456" s="62" t="n"/>
      <c r="G456" s="63" t="n"/>
      <c r="H456" s="62" t="n"/>
      <c r="K456">
        <f>IF($C456="","",IF(COUNTIF($C$3:$C456,$C456)=1,$C456,""))</f>
        <v/>
      </c>
      <c r="L456">
        <f>IF($K456="","",$M456+ROW()/10000000)</f>
        <v/>
      </c>
      <c r="M456">
        <f>IF($K456="","",SUMIF($C$3:$C$1002,$K456,$G$3:$G$1002))</f>
        <v/>
      </c>
      <c r="N456">
        <f>IF($K456="","",COUNTIF($C$3:$C$1002,$K456))</f>
        <v/>
      </c>
      <c r="P456">
        <f>IF($A456="","",$A456*100000+ROW())</f>
        <v/>
      </c>
    </row>
    <row r="457" ht="18" customHeight="1">
      <c r="A457" s="60" t="n"/>
      <c r="B457" s="61">
        <f>IF(A457="","",TEXT(A457,"mmm yyyy"))</f>
        <v/>
      </c>
      <c r="C457" s="62" t="n"/>
      <c r="D457" s="62" t="n"/>
      <c r="E457" s="62" t="n"/>
      <c r="F457" s="62" t="n"/>
      <c r="G457" s="63" t="n"/>
      <c r="H457" s="62" t="n"/>
      <c r="K457">
        <f>IF($C457="","",IF(COUNTIF($C$3:$C457,$C457)=1,$C457,""))</f>
        <v/>
      </c>
      <c r="L457">
        <f>IF($K457="","",$M457+ROW()/10000000)</f>
        <v/>
      </c>
      <c r="M457">
        <f>IF($K457="","",SUMIF($C$3:$C$1002,$K457,$G$3:$G$1002))</f>
        <v/>
      </c>
      <c r="N457">
        <f>IF($K457="","",COUNTIF($C$3:$C$1002,$K457))</f>
        <v/>
      </c>
      <c r="P457">
        <f>IF($A457="","",$A457*100000+ROW())</f>
        <v/>
      </c>
    </row>
    <row r="458" ht="18" customHeight="1">
      <c r="A458" s="60" t="n"/>
      <c r="B458" s="61">
        <f>IF(A458="","",TEXT(A458,"mmm yyyy"))</f>
        <v/>
      </c>
      <c r="C458" s="62" t="n"/>
      <c r="D458" s="62" t="n"/>
      <c r="E458" s="62" t="n"/>
      <c r="F458" s="62" t="n"/>
      <c r="G458" s="63" t="n"/>
      <c r="H458" s="62" t="n"/>
      <c r="K458">
        <f>IF($C458="","",IF(COUNTIF($C$3:$C458,$C458)=1,$C458,""))</f>
        <v/>
      </c>
      <c r="L458">
        <f>IF($K458="","",$M458+ROW()/10000000)</f>
        <v/>
      </c>
      <c r="M458">
        <f>IF($K458="","",SUMIF($C$3:$C$1002,$K458,$G$3:$G$1002))</f>
        <v/>
      </c>
      <c r="N458">
        <f>IF($K458="","",COUNTIF($C$3:$C$1002,$K458))</f>
        <v/>
      </c>
      <c r="P458">
        <f>IF($A458="","",$A458*100000+ROW())</f>
        <v/>
      </c>
    </row>
    <row r="459" ht="18" customHeight="1">
      <c r="A459" s="60" t="n"/>
      <c r="B459" s="61">
        <f>IF(A459="","",TEXT(A459,"mmm yyyy"))</f>
        <v/>
      </c>
      <c r="C459" s="62" t="n"/>
      <c r="D459" s="62" t="n"/>
      <c r="E459" s="62" t="n"/>
      <c r="F459" s="62" t="n"/>
      <c r="G459" s="63" t="n"/>
      <c r="H459" s="62" t="n"/>
      <c r="K459">
        <f>IF($C459="","",IF(COUNTIF($C$3:$C459,$C459)=1,$C459,""))</f>
        <v/>
      </c>
      <c r="L459">
        <f>IF($K459="","",$M459+ROW()/10000000)</f>
        <v/>
      </c>
      <c r="M459">
        <f>IF($K459="","",SUMIF($C$3:$C$1002,$K459,$G$3:$G$1002))</f>
        <v/>
      </c>
      <c r="N459">
        <f>IF($K459="","",COUNTIF($C$3:$C$1002,$K459))</f>
        <v/>
      </c>
      <c r="P459">
        <f>IF($A459="","",$A459*100000+ROW())</f>
        <v/>
      </c>
    </row>
    <row r="460" ht="18" customHeight="1">
      <c r="A460" s="60" t="n"/>
      <c r="B460" s="61">
        <f>IF(A460="","",TEXT(A460,"mmm yyyy"))</f>
        <v/>
      </c>
      <c r="C460" s="62" t="n"/>
      <c r="D460" s="62" t="n"/>
      <c r="E460" s="62" t="n"/>
      <c r="F460" s="62" t="n"/>
      <c r="G460" s="63" t="n"/>
      <c r="H460" s="62" t="n"/>
      <c r="K460">
        <f>IF($C460="","",IF(COUNTIF($C$3:$C460,$C460)=1,$C460,""))</f>
        <v/>
      </c>
      <c r="L460">
        <f>IF($K460="","",$M460+ROW()/10000000)</f>
        <v/>
      </c>
      <c r="M460">
        <f>IF($K460="","",SUMIF($C$3:$C$1002,$K460,$G$3:$G$1002))</f>
        <v/>
      </c>
      <c r="N460">
        <f>IF($K460="","",COUNTIF($C$3:$C$1002,$K460))</f>
        <v/>
      </c>
      <c r="P460">
        <f>IF($A460="","",$A460*100000+ROW())</f>
        <v/>
      </c>
    </row>
    <row r="461" ht="18" customHeight="1">
      <c r="A461" s="60" t="n"/>
      <c r="B461" s="61">
        <f>IF(A461="","",TEXT(A461,"mmm yyyy"))</f>
        <v/>
      </c>
      <c r="C461" s="62" t="n"/>
      <c r="D461" s="62" t="n"/>
      <c r="E461" s="62" t="n"/>
      <c r="F461" s="62" t="n"/>
      <c r="G461" s="63" t="n"/>
      <c r="H461" s="62" t="n"/>
      <c r="K461">
        <f>IF($C461="","",IF(COUNTIF($C$3:$C461,$C461)=1,$C461,""))</f>
        <v/>
      </c>
      <c r="L461">
        <f>IF($K461="","",$M461+ROW()/10000000)</f>
        <v/>
      </c>
      <c r="M461">
        <f>IF($K461="","",SUMIF($C$3:$C$1002,$K461,$G$3:$G$1002))</f>
        <v/>
      </c>
      <c r="N461">
        <f>IF($K461="","",COUNTIF($C$3:$C$1002,$K461))</f>
        <v/>
      </c>
      <c r="P461">
        <f>IF($A461="","",$A461*100000+ROW())</f>
        <v/>
      </c>
    </row>
    <row r="462" ht="18" customHeight="1">
      <c r="A462" s="60" t="n"/>
      <c r="B462" s="61">
        <f>IF(A462="","",TEXT(A462,"mmm yyyy"))</f>
        <v/>
      </c>
      <c r="C462" s="62" t="n"/>
      <c r="D462" s="62" t="n"/>
      <c r="E462" s="62" t="n"/>
      <c r="F462" s="62" t="n"/>
      <c r="G462" s="63" t="n"/>
      <c r="H462" s="62" t="n"/>
      <c r="K462">
        <f>IF($C462="","",IF(COUNTIF($C$3:$C462,$C462)=1,$C462,""))</f>
        <v/>
      </c>
      <c r="L462">
        <f>IF($K462="","",$M462+ROW()/10000000)</f>
        <v/>
      </c>
      <c r="M462">
        <f>IF($K462="","",SUMIF($C$3:$C$1002,$K462,$G$3:$G$1002))</f>
        <v/>
      </c>
      <c r="N462">
        <f>IF($K462="","",COUNTIF($C$3:$C$1002,$K462))</f>
        <v/>
      </c>
      <c r="P462">
        <f>IF($A462="","",$A462*100000+ROW())</f>
        <v/>
      </c>
    </row>
    <row r="463" ht="18" customHeight="1">
      <c r="A463" s="60" t="n"/>
      <c r="B463" s="61">
        <f>IF(A463="","",TEXT(A463,"mmm yyyy"))</f>
        <v/>
      </c>
      <c r="C463" s="62" t="n"/>
      <c r="D463" s="62" t="n"/>
      <c r="E463" s="62" t="n"/>
      <c r="F463" s="62" t="n"/>
      <c r="G463" s="63" t="n"/>
      <c r="H463" s="62" t="n"/>
      <c r="K463">
        <f>IF($C463="","",IF(COUNTIF($C$3:$C463,$C463)=1,$C463,""))</f>
        <v/>
      </c>
      <c r="L463">
        <f>IF($K463="","",$M463+ROW()/10000000)</f>
        <v/>
      </c>
      <c r="M463">
        <f>IF($K463="","",SUMIF($C$3:$C$1002,$K463,$G$3:$G$1002))</f>
        <v/>
      </c>
      <c r="N463">
        <f>IF($K463="","",COUNTIF($C$3:$C$1002,$K463))</f>
        <v/>
      </c>
      <c r="P463">
        <f>IF($A463="","",$A463*100000+ROW())</f>
        <v/>
      </c>
    </row>
    <row r="464" ht="18" customHeight="1">
      <c r="A464" s="60" t="n"/>
      <c r="B464" s="61">
        <f>IF(A464="","",TEXT(A464,"mmm yyyy"))</f>
        <v/>
      </c>
      <c r="C464" s="62" t="n"/>
      <c r="D464" s="62" t="n"/>
      <c r="E464" s="62" t="n"/>
      <c r="F464" s="62" t="n"/>
      <c r="G464" s="63" t="n"/>
      <c r="H464" s="62" t="n"/>
      <c r="K464">
        <f>IF($C464="","",IF(COUNTIF($C$3:$C464,$C464)=1,$C464,""))</f>
        <v/>
      </c>
      <c r="L464">
        <f>IF($K464="","",$M464+ROW()/10000000)</f>
        <v/>
      </c>
      <c r="M464">
        <f>IF($K464="","",SUMIF($C$3:$C$1002,$K464,$G$3:$G$1002))</f>
        <v/>
      </c>
      <c r="N464">
        <f>IF($K464="","",COUNTIF($C$3:$C$1002,$K464))</f>
        <v/>
      </c>
      <c r="P464">
        <f>IF($A464="","",$A464*100000+ROW())</f>
        <v/>
      </c>
    </row>
    <row r="465" ht="18" customHeight="1">
      <c r="A465" s="60" t="n"/>
      <c r="B465" s="61">
        <f>IF(A465="","",TEXT(A465,"mmm yyyy"))</f>
        <v/>
      </c>
      <c r="C465" s="62" t="n"/>
      <c r="D465" s="62" t="n"/>
      <c r="E465" s="62" t="n"/>
      <c r="F465" s="62" t="n"/>
      <c r="G465" s="63" t="n"/>
      <c r="H465" s="62" t="n"/>
      <c r="K465">
        <f>IF($C465="","",IF(COUNTIF($C$3:$C465,$C465)=1,$C465,""))</f>
        <v/>
      </c>
      <c r="L465">
        <f>IF($K465="","",$M465+ROW()/10000000)</f>
        <v/>
      </c>
      <c r="M465">
        <f>IF($K465="","",SUMIF($C$3:$C$1002,$K465,$G$3:$G$1002))</f>
        <v/>
      </c>
      <c r="N465">
        <f>IF($K465="","",COUNTIF($C$3:$C$1002,$K465))</f>
        <v/>
      </c>
      <c r="P465">
        <f>IF($A465="","",$A465*100000+ROW())</f>
        <v/>
      </c>
    </row>
    <row r="466" ht="18" customHeight="1">
      <c r="A466" s="60" t="n"/>
      <c r="B466" s="61">
        <f>IF(A466="","",TEXT(A466,"mmm yyyy"))</f>
        <v/>
      </c>
      <c r="C466" s="62" t="n"/>
      <c r="D466" s="62" t="n"/>
      <c r="E466" s="62" t="n"/>
      <c r="F466" s="62" t="n"/>
      <c r="G466" s="63" t="n"/>
      <c r="H466" s="62" t="n"/>
      <c r="K466">
        <f>IF($C466="","",IF(COUNTIF($C$3:$C466,$C466)=1,$C466,""))</f>
        <v/>
      </c>
      <c r="L466">
        <f>IF($K466="","",$M466+ROW()/10000000)</f>
        <v/>
      </c>
      <c r="M466">
        <f>IF($K466="","",SUMIF($C$3:$C$1002,$K466,$G$3:$G$1002))</f>
        <v/>
      </c>
      <c r="N466">
        <f>IF($K466="","",COUNTIF($C$3:$C$1002,$K466))</f>
        <v/>
      </c>
      <c r="P466">
        <f>IF($A466="","",$A466*100000+ROW())</f>
        <v/>
      </c>
    </row>
    <row r="467" ht="18" customHeight="1">
      <c r="A467" s="60" t="n"/>
      <c r="B467" s="61">
        <f>IF(A467="","",TEXT(A467,"mmm yyyy"))</f>
        <v/>
      </c>
      <c r="C467" s="62" t="n"/>
      <c r="D467" s="62" t="n"/>
      <c r="E467" s="62" t="n"/>
      <c r="F467" s="62" t="n"/>
      <c r="G467" s="63" t="n"/>
      <c r="H467" s="62" t="n"/>
      <c r="K467">
        <f>IF($C467="","",IF(COUNTIF($C$3:$C467,$C467)=1,$C467,""))</f>
        <v/>
      </c>
      <c r="L467">
        <f>IF($K467="","",$M467+ROW()/10000000)</f>
        <v/>
      </c>
      <c r="M467">
        <f>IF($K467="","",SUMIF($C$3:$C$1002,$K467,$G$3:$G$1002))</f>
        <v/>
      </c>
      <c r="N467">
        <f>IF($K467="","",COUNTIF($C$3:$C$1002,$K467))</f>
        <v/>
      </c>
      <c r="P467">
        <f>IF($A467="","",$A467*100000+ROW())</f>
        <v/>
      </c>
    </row>
    <row r="468" ht="18" customHeight="1">
      <c r="A468" s="60" t="n"/>
      <c r="B468" s="61">
        <f>IF(A468="","",TEXT(A468,"mmm yyyy"))</f>
        <v/>
      </c>
      <c r="C468" s="62" t="n"/>
      <c r="D468" s="62" t="n"/>
      <c r="E468" s="62" t="n"/>
      <c r="F468" s="62" t="n"/>
      <c r="G468" s="63" t="n"/>
      <c r="H468" s="62" t="n"/>
      <c r="K468">
        <f>IF($C468="","",IF(COUNTIF($C$3:$C468,$C468)=1,$C468,""))</f>
        <v/>
      </c>
      <c r="L468">
        <f>IF($K468="","",$M468+ROW()/10000000)</f>
        <v/>
      </c>
      <c r="M468">
        <f>IF($K468="","",SUMIF($C$3:$C$1002,$K468,$G$3:$G$1002))</f>
        <v/>
      </c>
      <c r="N468">
        <f>IF($K468="","",COUNTIF($C$3:$C$1002,$K468))</f>
        <v/>
      </c>
      <c r="P468">
        <f>IF($A468="","",$A468*100000+ROW())</f>
        <v/>
      </c>
    </row>
    <row r="469" ht="18" customHeight="1">
      <c r="A469" s="60" t="n"/>
      <c r="B469" s="61">
        <f>IF(A469="","",TEXT(A469,"mmm yyyy"))</f>
        <v/>
      </c>
      <c r="C469" s="62" t="n"/>
      <c r="D469" s="62" t="n"/>
      <c r="E469" s="62" t="n"/>
      <c r="F469" s="62" t="n"/>
      <c r="G469" s="63" t="n"/>
      <c r="H469" s="62" t="n"/>
      <c r="K469">
        <f>IF($C469="","",IF(COUNTIF($C$3:$C469,$C469)=1,$C469,""))</f>
        <v/>
      </c>
      <c r="L469">
        <f>IF($K469="","",$M469+ROW()/10000000)</f>
        <v/>
      </c>
      <c r="M469">
        <f>IF($K469="","",SUMIF($C$3:$C$1002,$K469,$G$3:$G$1002))</f>
        <v/>
      </c>
      <c r="N469">
        <f>IF($K469="","",COUNTIF($C$3:$C$1002,$K469))</f>
        <v/>
      </c>
      <c r="P469">
        <f>IF($A469="","",$A469*100000+ROW())</f>
        <v/>
      </c>
    </row>
    <row r="470" ht="18" customHeight="1">
      <c r="A470" s="60" t="n"/>
      <c r="B470" s="61">
        <f>IF(A470="","",TEXT(A470,"mmm yyyy"))</f>
        <v/>
      </c>
      <c r="C470" s="62" t="n"/>
      <c r="D470" s="62" t="n"/>
      <c r="E470" s="62" t="n"/>
      <c r="F470" s="62" t="n"/>
      <c r="G470" s="63" t="n"/>
      <c r="H470" s="62" t="n"/>
      <c r="K470">
        <f>IF($C470="","",IF(COUNTIF($C$3:$C470,$C470)=1,$C470,""))</f>
        <v/>
      </c>
      <c r="L470">
        <f>IF($K470="","",$M470+ROW()/10000000)</f>
        <v/>
      </c>
      <c r="M470">
        <f>IF($K470="","",SUMIF($C$3:$C$1002,$K470,$G$3:$G$1002))</f>
        <v/>
      </c>
      <c r="N470">
        <f>IF($K470="","",COUNTIF($C$3:$C$1002,$K470))</f>
        <v/>
      </c>
      <c r="P470">
        <f>IF($A470="","",$A470*100000+ROW())</f>
        <v/>
      </c>
    </row>
    <row r="471" ht="18" customHeight="1">
      <c r="A471" s="60" t="n"/>
      <c r="B471" s="61">
        <f>IF(A471="","",TEXT(A471,"mmm yyyy"))</f>
        <v/>
      </c>
      <c r="C471" s="62" t="n"/>
      <c r="D471" s="62" t="n"/>
      <c r="E471" s="62" t="n"/>
      <c r="F471" s="62" t="n"/>
      <c r="G471" s="63" t="n"/>
      <c r="H471" s="62" t="n"/>
      <c r="K471">
        <f>IF($C471="","",IF(COUNTIF($C$3:$C471,$C471)=1,$C471,""))</f>
        <v/>
      </c>
      <c r="L471">
        <f>IF($K471="","",$M471+ROW()/10000000)</f>
        <v/>
      </c>
      <c r="M471">
        <f>IF($K471="","",SUMIF($C$3:$C$1002,$K471,$G$3:$G$1002))</f>
        <v/>
      </c>
      <c r="N471">
        <f>IF($K471="","",COUNTIF($C$3:$C$1002,$K471))</f>
        <v/>
      </c>
      <c r="P471">
        <f>IF($A471="","",$A471*100000+ROW())</f>
        <v/>
      </c>
    </row>
    <row r="472" ht="18" customHeight="1">
      <c r="A472" s="60" t="n"/>
      <c r="B472" s="61">
        <f>IF(A472="","",TEXT(A472,"mmm yyyy"))</f>
        <v/>
      </c>
      <c r="C472" s="62" t="n"/>
      <c r="D472" s="62" t="n"/>
      <c r="E472" s="62" t="n"/>
      <c r="F472" s="62" t="n"/>
      <c r="G472" s="63" t="n"/>
      <c r="H472" s="62" t="n"/>
      <c r="K472">
        <f>IF($C472="","",IF(COUNTIF($C$3:$C472,$C472)=1,$C472,""))</f>
        <v/>
      </c>
      <c r="L472">
        <f>IF($K472="","",$M472+ROW()/10000000)</f>
        <v/>
      </c>
      <c r="M472">
        <f>IF($K472="","",SUMIF($C$3:$C$1002,$K472,$G$3:$G$1002))</f>
        <v/>
      </c>
      <c r="N472">
        <f>IF($K472="","",COUNTIF($C$3:$C$1002,$K472))</f>
        <v/>
      </c>
      <c r="P472">
        <f>IF($A472="","",$A472*100000+ROW())</f>
        <v/>
      </c>
    </row>
    <row r="473" ht="18" customHeight="1">
      <c r="A473" s="60" t="n"/>
      <c r="B473" s="61">
        <f>IF(A473="","",TEXT(A473,"mmm yyyy"))</f>
        <v/>
      </c>
      <c r="C473" s="62" t="n"/>
      <c r="D473" s="62" t="n"/>
      <c r="E473" s="62" t="n"/>
      <c r="F473" s="62" t="n"/>
      <c r="G473" s="63" t="n"/>
      <c r="H473" s="62" t="n"/>
      <c r="K473">
        <f>IF($C473="","",IF(COUNTIF($C$3:$C473,$C473)=1,$C473,""))</f>
        <v/>
      </c>
      <c r="L473">
        <f>IF($K473="","",$M473+ROW()/10000000)</f>
        <v/>
      </c>
      <c r="M473">
        <f>IF($K473="","",SUMIF($C$3:$C$1002,$K473,$G$3:$G$1002))</f>
        <v/>
      </c>
      <c r="N473">
        <f>IF($K473="","",COUNTIF($C$3:$C$1002,$K473))</f>
        <v/>
      </c>
      <c r="P473">
        <f>IF($A473="","",$A473*100000+ROW())</f>
        <v/>
      </c>
    </row>
    <row r="474" ht="18" customHeight="1">
      <c r="A474" s="60" t="n"/>
      <c r="B474" s="61">
        <f>IF(A474="","",TEXT(A474,"mmm yyyy"))</f>
        <v/>
      </c>
      <c r="C474" s="62" t="n"/>
      <c r="D474" s="62" t="n"/>
      <c r="E474" s="62" t="n"/>
      <c r="F474" s="62" t="n"/>
      <c r="G474" s="63" t="n"/>
      <c r="H474" s="62" t="n"/>
      <c r="K474">
        <f>IF($C474="","",IF(COUNTIF($C$3:$C474,$C474)=1,$C474,""))</f>
        <v/>
      </c>
      <c r="L474">
        <f>IF($K474="","",$M474+ROW()/10000000)</f>
        <v/>
      </c>
      <c r="M474">
        <f>IF($K474="","",SUMIF($C$3:$C$1002,$K474,$G$3:$G$1002))</f>
        <v/>
      </c>
      <c r="N474">
        <f>IF($K474="","",COUNTIF($C$3:$C$1002,$K474))</f>
        <v/>
      </c>
      <c r="P474">
        <f>IF($A474="","",$A474*100000+ROW())</f>
        <v/>
      </c>
    </row>
    <row r="475" ht="18" customHeight="1">
      <c r="A475" s="60" t="n"/>
      <c r="B475" s="61">
        <f>IF(A475="","",TEXT(A475,"mmm yyyy"))</f>
        <v/>
      </c>
      <c r="C475" s="62" t="n"/>
      <c r="D475" s="62" t="n"/>
      <c r="E475" s="62" t="n"/>
      <c r="F475" s="62" t="n"/>
      <c r="G475" s="63" t="n"/>
      <c r="H475" s="62" t="n"/>
      <c r="K475">
        <f>IF($C475="","",IF(COUNTIF($C$3:$C475,$C475)=1,$C475,""))</f>
        <v/>
      </c>
      <c r="L475">
        <f>IF($K475="","",$M475+ROW()/10000000)</f>
        <v/>
      </c>
      <c r="M475">
        <f>IF($K475="","",SUMIF($C$3:$C$1002,$K475,$G$3:$G$1002))</f>
        <v/>
      </c>
      <c r="N475">
        <f>IF($K475="","",COUNTIF($C$3:$C$1002,$K475))</f>
        <v/>
      </c>
      <c r="P475">
        <f>IF($A475="","",$A475*100000+ROW())</f>
        <v/>
      </c>
    </row>
    <row r="476" ht="18" customHeight="1">
      <c r="A476" s="60" t="n"/>
      <c r="B476" s="61">
        <f>IF(A476="","",TEXT(A476,"mmm yyyy"))</f>
        <v/>
      </c>
      <c r="C476" s="62" t="n"/>
      <c r="D476" s="62" t="n"/>
      <c r="E476" s="62" t="n"/>
      <c r="F476" s="62" t="n"/>
      <c r="G476" s="63" t="n"/>
      <c r="H476" s="62" t="n"/>
      <c r="K476">
        <f>IF($C476="","",IF(COUNTIF($C$3:$C476,$C476)=1,$C476,""))</f>
        <v/>
      </c>
      <c r="L476">
        <f>IF($K476="","",$M476+ROW()/10000000)</f>
        <v/>
      </c>
      <c r="M476">
        <f>IF($K476="","",SUMIF($C$3:$C$1002,$K476,$G$3:$G$1002))</f>
        <v/>
      </c>
      <c r="N476">
        <f>IF($K476="","",COUNTIF($C$3:$C$1002,$K476))</f>
        <v/>
      </c>
      <c r="P476">
        <f>IF($A476="","",$A476*100000+ROW())</f>
        <v/>
      </c>
    </row>
    <row r="477" ht="18" customHeight="1">
      <c r="A477" s="60" t="n"/>
      <c r="B477" s="61">
        <f>IF(A477="","",TEXT(A477,"mmm yyyy"))</f>
        <v/>
      </c>
      <c r="C477" s="62" t="n"/>
      <c r="D477" s="62" t="n"/>
      <c r="E477" s="62" t="n"/>
      <c r="F477" s="62" t="n"/>
      <c r="G477" s="63" t="n"/>
      <c r="H477" s="62" t="n"/>
      <c r="K477">
        <f>IF($C477="","",IF(COUNTIF($C$3:$C477,$C477)=1,$C477,""))</f>
        <v/>
      </c>
      <c r="L477">
        <f>IF($K477="","",$M477+ROW()/10000000)</f>
        <v/>
      </c>
      <c r="M477">
        <f>IF($K477="","",SUMIF($C$3:$C$1002,$K477,$G$3:$G$1002))</f>
        <v/>
      </c>
      <c r="N477">
        <f>IF($K477="","",COUNTIF($C$3:$C$1002,$K477))</f>
        <v/>
      </c>
      <c r="P477">
        <f>IF($A477="","",$A477*100000+ROW())</f>
        <v/>
      </c>
    </row>
    <row r="478" ht="18" customHeight="1">
      <c r="A478" s="60" t="n"/>
      <c r="B478" s="61">
        <f>IF(A478="","",TEXT(A478,"mmm yyyy"))</f>
        <v/>
      </c>
      <c r="C478" s="62" t="n"/>
      <c r="D478" s="62" t="n"/>
      <c r="E478" s="62" t="n"/>
      <c r="F478" s="62" t="n"/>
      <c r="G478" s="63" t="n"/>
      <c r="H478" s="62" t="n"/>
      <c r="K478">
        <f>IF($C478="","",IF(COUNTIF($C$3:$C478,$C478)=1,$C478,""))</f>
        <v/>
      </c>
      <c r="L478">
        <f>IF($K478="","",$M478+ROW()/10000000)</f>
        <v/>
      </c>
      <c r="M478">
        <f>IF($K478="","",SUMIF($C$3:$C$1002,$K478,$G$3:$G$1002))</f>
        <v/>
      </c>
      <c r="N478">
        <f>IF($K478="","",COUNTIF($C$3:$C$1002,$K478))</f>
        <v/>
      </c>
      <c r="P478">
        <f>IF($A478="","",$A478*100000+ROW())</f>
        <v/>
      </c>
    </row>
    <row r="479" ht="18" customHeight="1">
      <c r="A479" s="60" t="n"/>
      <c r="B479" s="61">
        <f>IF(A479="","",TEXT(A479,"mmm yyyy"))</f>
        <v/>
      </c>
      <c r="C479" s="62" t="n"/>
      <c r="D479" s="62" t="n"/>
      <c r="E479" s="62" t="n"/>
      <c r="F479" s="62" t="n"/>
      <c r="G479" s="63" t="n"/>
      <c r="H479" s="62" t="n"/>
      <c r="K479">
        <f>IF($C479="","",IF(COUNTIF($C$3:$C479,$C479)=1,$C479,""))</f>
        <v/>
      </c>
      <c r="L479">
        <f>IF($K479="","",$M479+ROW()/10000000)</f>
        <v/>
      </c>
      <c r="M479">
        <f>IF($K479="","",SUMIF($C$3:$C$1002,$K479,$G$3:$G$1002))</f>
        <v/>
      </c>
      <c r="N479">
        <f>IF($K479="","",COUNTIF($C$3:$C$1002,$K479))</f>
        <v/>
      </c>
      <c r="P479">
        <f>IF($A479="","",$A479*100000+ROW())</f>
        <v/>
      </c>
    </row>
    <row r="480" ht="18" customHeight="1">
      <c r="A480" s="60" t="n"/>
      <c r="B480" s="61">
        <f>IF(A480="","",TEXT(A480,"mmm yyyy"))</f>
        <v/>
      </c>
      <c r="C480" s="62" t="n"/>
      <c r="D480" s="62" t="n"/>
      <c r="E480" s="62" t="n"/>
      <c r="F480" s="62" t="n"/>
      <c r="G480" s="63" t="n"/>
      <c r="H480" s="62" t="n"/>
      <c r="K480">
        <f>IF($C480="","",IF(COUNTIF($C$3:$C480,$C480)=1,$C480,""))</f>
        <v/>
      </c>
      <c r="L480">
        <f>IF($K480="","",$M480+ROW()/10000000)</f>
        <v/>
      </c>
      <c r="M480">
        <f>IF($K480="","",SUMIF($C$3:$C$1002,$K480,$G$3:$G$1002))</f>
        <v/>
      </c>
      <c r="N480">
        <f>IF($K480="","",COUNTIF($C$3:$C$1002,$K480))</f>
        <v/>
      </c>
      <c r="P480">
        <f>IF($A480="","",$A480*100000+ROW())</f>
        <v/>
      </c>
    </row>
    <row r="481" ht="18" customHeight="1">
      <c r="A481" s="60" t="n"/>
      <c r="B481" s="61">
        <f>IF(A481="","",TEXT(A481,"mmm yyyy"))</f>
        <v/>
      </c>
      <c r="C481" s="62" t="n"/>
      <c r="D481" s="62" t="n"/>
      <c r="E481" s="62" t="n"/>
      <c r="F481" s="62" t="n"/>
      <c r="G481" s="63" t="n"/>
      <c r="H481" s="62" t="n"/>
      <c r="K481">
        <f>IF($C481="","",IF(COUNTIF($C$3:$C481,$C481)=1,$C481,""))</f>
        <v/>
      </c>
      <c r="L481">
        <f>IF($K481="","",$M481+ROW()/10000000)</f>
        <v/>
      </c>
      <c r="M481">
        <f>IF($K481="","",SUMIF($C$3:$C$1002,$K481,$G$3:$G$1002))</f>
        <v/>
      </c>
      <c r="N481">
        <f>IF($K481="","",COUNTIF($C$3:$C$1002,$K481))</f>
        <v/>
      </c>
      <c r="P481">
        <f>IF($A481="","",$A481*100000+ROW())</f>
        <v/>
      </c>
    </row>
    <row r="482" ht="18" customHeight="1">
      <c r="A482" s="60" t="n"/>
      <c r="B482" s="61">
        <f>IF(A482="","",TEXT(A482,"mmm yyyy"))</f>
        <v/>
      </c>
      <c r="C482" s="62" t="n"/>
      <c r="D482" s="62" t="n"/>
      <c r="E482" s="62" t="n"/>
      <c r="F482" s="62" t="n"/>
      <c r="G482" s="63" t="n"/>
      <c r="H482" s="62" t="n"/>
      <c r="K482">
        <f>IF($C482="","",IF(COUNTIF($C$3:$C482,$C482)=1,$C482,""))</f>
        <v/>
      </c>
      <c r="L482">
        <f>IF($K482="","",$M482+ROW()/10000000)</f>
        <v/>
      </c>
      <c r="M482">
        <f>IF($K482="","",SUMIF($C$3:$C$1002,$K482,$G$3:$G$1002))</f>
        <v/>
      </c>
      <c r="N482">
        <f>IF($K482="","",COUNTIF($C$3:$C$1002,$K482))</f>
        <v/>
      </c>
      <c r="P482">
        <f>IF($A482="","",$A482*100000+ROW())</f>
        <v/>
      </c>
    </row>
    <row r="483" ht="18" customHeight="1">
      <c r="A483" s="60" t="n"/>
      <c r="B483" s="61">
        <f>IF(A483="","",TEXT(A483,"mmm yyyy"))</f>
        <v/>
      </c>
      <c r="C483" s="62" t="n"/>
      <c r="D483" s="62" t="n"/>
      <c r="E483" s="62" t="n"/>
      <c r="F483" s="62" t="n"/>
      <c r="G483" s="63" t="n"/>
      <c r="H483" s="62" t="n"/>
      <c r="K483">
        <f>IF($C483="","",IF(COUNTIF($C$3:$C483,$C483)=1,$C483,""))</f>
        <v/>
      </c>
      <c r="L483">
        <f>IF($K483="","",$M483+ROW()/10000000)</f>
        <v/>
      </c>
      <c r="M483">
        <f>IF($K483="","",SUMIF($C$3:$C$1002,$K483,$G$3:$G$1002))</f>
        <v/>
      </c>
      <c r="N483">
        <f>IF($K483="","",COUNTIF($C$3:$C$1002,$K483))</f>
        <v/>
      </c>
      <c r="P483">
        <f>IF($A483="","",$A483*100000+ROW())</f>
        <v/>
      </c>
    </row>
    <row r="484" ht="18" customHeight="1">
      <c r="A484" s="60" t="n"/>
      <c r="B484" s="61">
        <f>IF(A484="","",TEXT(A484,"mmm yyyy"))</f>
        <v/>
      </c>
      <c r="C484" s="62" t="n"/>
      <c r="D484" s="62" t="n"/>
      <c r="E484" s="62" t="n"/>
      <c r="F484" s="62" t="n"/>
      <c r="G484" s="63" t="n"/>
      <c r="H484" s="62" t="n"/>
      <c r="K484">
        <f>IF($C484="","",IF(COUNTIF($C$3:$C484,$C484)=1,$C484,""))</f>
        <v/>
      </c>
      <c r="L484">
        <f>IF($K484="","",$M484+ROW()/10000000)</f>
        <v/>
      </c>
      <c r="M484">
        <f>IF($K484="","",SUMIF($C$3:$C$1002,$K484,$G$3:$G$1002))</f>
        <v/>
      </c>
      <c r="N484">
        <f>IF($K484="","",COUNTIF($C$3:$C$1002,$K484))</f>
        <v/>
      </c>
      <c r="P484">
        <f>IF($A484="","",$A484*100000+ROW())</f>
        <v/>
      </c>
    </row>
    <row r="485" ht="18" customHeight="1">
      <c r="A485" s="60" t="n"/>
      <c r="B485" s="61">
        <f>IF(A485="","",TEXT(A485,"mmm yyyy"))</f>
        <v/>
      </c>
      <c r="C485" s="62" t="n"/>
      <c r="D485" s="62" t="n"/>
      <c r="E485" s="62" t="n"/>
      <c r="F485" s="62" t="n"/>
      <c r="G485" s="63" t="n"/>
      <c r="H485" s="62" t="n"/>
      <c r="K485">
        <f>IF($C485="","",IF(COUNTIF($C$3:$C485,$C485)=1,$C485,""))</f>
        <v/>
      </c>
      <c r="L485">
        <f>IF($K485="","",$M485+ROW()/10000000)</f>
        <v/>
      </c>
      <c r="M485">
        <f>IF($K485="","",SUMIF($C$3:$C$1002,$K485,$G$3:$G$1002))</f>
        <v/>
      </c>
      <c r="N485">
        <f>IF($K485="","",COUNTIF($C$3:$C$1002,$K485))</f>
        <v/>
      </c>
      <c r="P485">
        <f>IF($A485="","",$A485*100000+ROW())</f>
        <v/>
      </c>
    </row>
    <row r="486" ht="18" customHeight="1">
      <c r="A486" s="60" t="n"/>
      <c r="B486" s="61">
        <f>IF(A486="","",TEXT(A486,"mmm yyyy"))</f>
        <v/>
      </c>
      <c r="C486" s="62" t="n"/>
      <c r="D486" s="62" t="n"/>
      <c r="E486" s="62" t="n"/>
      <c r="F486" s="62" t="n"/>
      <c r="G486" s="63" t="n"/>
      <c r="H486" s="62" t="n"/>
      <c r="K486">
        <f>IF($C486="","",IF(COUNTIF($C$3:$C486,$C486)=1,$C486,""))</f>
        <v/>
      </c>
      <c r="L486">
        <f>IF($K486="","",$M486+ROW()/10000000)</f>
        <v/>
      </c>
      <c r="M486">
        <f>IF($K486="","",SUMIF($C$3:$C$1002,$K486,$G$3:$G$1002))</f>
        <v/>
      </c>
      <c r="N486">
        <f>IF($K486="","",COUNTIF($C$3:$C$1002,$K486))</f>
        <v/>
      </c>
      <c r="P486">
        <f>IF($A486="","",$A486*100000+ROW())</f>
        <v/>
      </c>
    </row>
    <row r="487" ht="18" customHeight="1">
      <c r="A487" s="60" t="n"/>
      <c r="B487" s="61">
        <f>IF(A487="","",TEXT(A487,"mmm yyyy"))</f>
        <v/>
      </c>
      <c r="C487" s="62" t="n"/>
      <c r="D487" s="62" t="n"/>
      <c r="E487" s="62" t="n"/>
      <c r="F487" s="62" t="n"/>
      <c r="G487" s="63" t="n"/>
      <c r="H487" s="62" t="n"/>
      <c r="K487">
        <f>IF($C487="","",IF(COUNTIF($C$3:$C487,$C487)=1,$C487,""))</f>
        <v/>
      </c>
      <c r="L487">
        <f>IF($K487="","",$M487+ROW()/10000000)</f>
        <v/>
      </c>
      <c r="M487">
        <f>IF($K487="","",SUMIF($C$3:$C$1002,$K487,$G$3:$G$1002))</f>
        <v/>
      </c>
      <c r="N487">
        <f>IF($K487="","",COUNTIF($C$3:$C$1002,$K487))</f>
        <v/>
      </c>
      <c r="P487">
        <f>IF($A487="","",$A487*100000+ROW())</f>
        <v/>
      </c>
    </row>
    <row r="488" ht="18" customHeight="1">
      <c r="A488" s="60" t="n"/>
      <c r="B488" s="61">
        <f>IF(A488="","",TEXT(A488,"mmm yyyy"))</f>
        <v/>
      </c>
      <c r="C488" s="62" t="n"/>
      <c r="D488" s="62" t="n"/>
      <c r="E488" s="62" t="n"/>
      <c r="F488" s="62" t="n"/>
      <c r="G488" s="63" t="n"/>
      <c r="H488" s="62" t="n"/>
      <c r="K488">
        <f>IF($C488="","",IF(COUNTIF($C$3:$C488,$C488)=1,$C488,""))</f>
        <v/>
      </c>
      <c r="L488">
        <f>IF($K488="","",$M488+ROW()/10000000)</f>
        <v/>
      </c>
      <c r="M488">
        <f>IF($K488="","",SUMIF($C$3:$C$1002,$K488,$G$3:$G$1002))</f>
        <v/>
      </c>
      <c r="N488">
        <f>IF($K488="","",COUNTIF($C$3:$C$1002,$K488))</f>
        <v/>
      </c>
      <c r="P488">
        <f>IF($A488="","",$A488*100000+ROW())</f>
        <v/>
      </c>
    </row>
    <row r="489" ht="18" customHeight="1">
      <c r="A489" s="60" t="n"/>
      <c r="B489" s="61">
        <f>IF(A489="","",TEXT(A489,"mmm yyyy"))</f>
        <v/>
      </c>
      <c r="C489" s="62" t="n"/>
      <c r="D489" s="62" t="n"/>
      <c r="E489" s="62" t="n"/>
      <c r="F489" s="62" t="n"/>
      <c r="G489" s="63" t="n"/>
      <c r="H489" s="62" t="n"/>
      <c r="K489">
        <f>IF($C489="","",IF(COUNTIF($C$3:$C489,$C489)=1,$C489,""))</f>
        <v/>
      </c>
      <c r="L489">
        <f>IF($K489="","",$M489+ROW()/10000000)</f>
        <v/>
      </c>
      <c r="M489">
        <f>IF($K489="","",SUMIF($C$3:$C$1002,$K489,$G$3:$G$1002))</f>
        <v/>
      </c>
      <c r="N489">
        <f>IF($K489="","",COUNTIF($C$3:$C$1002,$K489))</f>
        <v/>
      </c>
      <c r="P489">
        <f>IF($A489="","",$A489*100000+ROW())</f>
        <v/>
      </c>
    </row>
    <row r="490" ht="18" customHeight="1">
      <c r="A490" s="60" t="n"/>
      <c r="B490" s="61">
        <f>IF(A490="","",TEXT(A490,"mmm yyyy"))</f>
        <v/>
      </c>
      <c r="C490" s="62" t="n"/>
      <c r="D490" s="62" t="n"/>
      <c r="E490" s="62" t="n"/>
      <c r="F490" s="62" t="n"/>
      <c r="G490" s="63" t="n"/>
      <c r="H490" s="62" t="n"/>
      <c r="K490">
        <f>IF($C490="","",IF(COUNTIF($C$3:$C490,$C490)=1,$C490,""))</f>
        <v/>
      </c>
      <c r="L490">
        <f>IF($K490="","",$M490+ROW()/10000000)</f>
        <v/>
      </c>
      <c r="M490">
        <f>IF($K490="","",SUMIF($C$3:$C$1002,$K490,$G$3:$G$1002))</f>
        <v/>
      </c>
      <c r="N490">
        <f>IF($K490="","",COUNTIF($C$3:$C$1002,$K490))</f>
        <v/>
      </c>
      <c r="P490">
        <f>IF($A490="","",$A490*100000+ROW())</f>
        <v/>
      </c>
    </row>
    <row r="491" ht="18" customHeight="1">
      <c r="A491" s="60" t="n"/>
      <c r="B491" s="61">
        <f>IF(A491="","",TEXT(A491,"mmm yyyy"))</f>
        <v/>
      </c>
      <c r="C491" s="62" t="n"/>
      <c r="D491" s="62" t="n"/>
      <c r="E491" s="62" t="n"/>
      <c r="F491" s="62" t="n"/>
      <c r="G491" s="63" t="n"/>
      <c r="H491" s="62" t="n"/>
      <c r="K491">
        <f>IF($C491="","",IF(COUNTIF($C$3:$C491,$C491)=1,$C491,""))</f>
        <v/>
      </c>
      <c r="L491">
        <f>IF($K491="","",$M491+ROW()/10000000)</f>
        <v/>
      </c>
      <c r="M491">
        <f>IF($K491="","",SUMIF($C$3:$C$1002,$K491,$G$3:$G$1002))</f>
        <v/>
      </c>
      <c r="N491">
        <f>IF($K491="","",COUNTIF($C$3:$C$1002,$K491))</f>
        <v/>
      </c>
      <c r="P491">
        <f>IF($A491="","",$A491*100000+ROW())</f>
        <v/>
      </c>
    </row>
    <row r="492" ht="18" customHeight="1">
      <c r="A492" s="60" t="n"/>
      <c r="B492" s="61">
        <f>IF(A492="","",TEXT(A492,"mmm yyyy"))</f>
        <v/>
      </c>
      <c r="C492" s="62" t="n"/>
      <c r="D492" s="62" t="n"/>
      <c r="E492" s="62" t="n"/>
      <c r="F492" s="62" t="n"/>
      <c r="G492" s="63" t="n"/>
      <c r="H492" s="62" t="n"/>
      <c r="K492">
        <f>IF($C492="","",IF(COUNTIF($C$3:$C492,$C492)=1,$C492,""))</f>
        <v/>
      </c>
      <c r="L492">
        <f>IF($K492="","",$M492+ROW()/10000000)</f>
        <v/>
      </c>
      <c r="M492">
        <f>IF($K492="","",SUMIF($C$3:$C$1002,$K492,$G$3:$G$1002))</f>
        <v/>
      </c>
      <c r="N492">
        <f>IF($K492="","",COUNTIF($C$3:$C$1002,$K492))</f>
        <v/>
      </c>
      <c r="P492">
        <f>IF($A492="","",$A492*100000+ROW())</f>
        <v/>
      </c>
    </row>
    <row r="493" ht="18" customHeight="1">
      <c r="A493" s="60" t="n"/>
      <c r="B493" s="61">
        <f>IF(A493="","",TEXT(A493,"mmm yyyy"))</f>
        <v/>
      </c>
      <c r="C493" s="62" t="n"/>
      <c r="D493" s="62" t="n"/>
      <c r="E493" s="62" t="n"/>
      <c r="F493" s="62" t="n"/>
      <c r="G493" s="63" t="n"/>
      <c r="H493" s="62" t="n"/>
      <c r="K493">
        <f>IF($C493="","",IF(COUNTIF($C$3:$C493,$C493)=1,$C493,""))</f>
        <v/>
      </c>
      <c r="L493">
        <f>IF($K493="","",$M493+ROW()/10000000)</f>
        <v/>
      </c>
      <c r="M493">
        <f>IF($K493="","",SUMIF($C$3:$C$1002,$K493,$G$3:$G$1002))</f>
        <v/>
      </c>
      <c r="N493">
        <f>IF($K493="","",COUNTIF($C$3:$C$1002,$K493))</f>
        <v/>
      </c>
      <c r="P493">
        <f>IF($A493="","",$A493*100000+ROW())</f>
        <v/>
      </c>
    </row>
    <row r="494" ht="18" customHeight="1">
      <c r="A494" s="60" t="n"/>
      <c r="B494" s="61">
        <f>IF(A494="","",TEXT(A494,"mmm yyyy"))</f>
        <v/>
      </c>
      <c r="C494" s="62" t="n"/>
      <c r="D494" s="62" t="n"/>
      <c r="E494" s="62" t="n"/>
      <c r="F494" s="62" t="n"/>
      <c r="G494" s="63" t="n"/>
      <c r="H494" s="62" t="n"/>
      <c r="K494">
        <f>IF($C494="","",IF(COUNTIF($C$3:$C494,$C494)=1,$C494,""))</f>
        <v/>
      </c>
      <c r="L494">
        <f>IF($K494="","",$M494+ROW()/10000000)</f>
        <v/>
      </c>
      <c r="M494">
        <f>IF($K494="","",SUMIF($C$3:$C$1002,$K494,$G$3:$G$1002))</f>
        <v/>
      </c>
      <c r="N494">
        <f>IF($K494="","",COUNTIF($C$3:$C$1002,$K494))</f>
        <v/>
      </c>
      <c r="P494">
        <f>IF($A494="","",$A494*100000+ROW())</f>
        <v/>
      </c>
    </row>
    <row r="495" ht="18" customHeight="1">
      <c r="A495" s="60" t="n"/>
      <c r="B495" s="61">
        <f>IF(A495="","",TEXT(A495,"mmm yyyy"))</f>
        <v/>
      </c>
      <c r="C495" s="62" t="n"/>
      <c r="D495" s="62" t="n"/>
      <c r="E495" s="62" t="n"/>
      <c r="F495" s="62" t="n"/>
      <c r="G495" s="63" t="n"/>
      <c r="H495" s="62" t="n"/>
      <c r="K495">
        <f>IF($C495="","",IF(COUNTIF($C$3:$C495,$C495)=1,$C495,""))</f>
        <v/>
      </c>
      <c r="L495">
        <f>IF($K495="","",$M495+ROW()/10000000)</f>
        <v/>
      </c>
      <c r="M495">
        <f>IF($K495="","",SUMIF($C$3:$C$1002,$K495,$G$3:$G$1002))</f>
        <v/>
      </c>
      <c r="N495">
        <f>IF($K495="","",COUNTIF($C$3:$C$1002,$K495))</f>
        <v/>
      </c>
      <c r="P495">
        <f>IF($A495="","",$A495*100000+ROW())</f>
        <v/>
      </c>
    </row>
    <row r="496" ht="18" customHeight="1">
      <c r="A496" s="60" t="n"/>
      <c r="B496" s="61">
        <f>IF(A496="","",TEXT(A496,"mmm yyyy"))</f>
        <v/>
      </c>
      <c r="C496" s="62" t="n"/>
      <c r="D496" s="62" t="n"/>
      <c r="E496" s="62" t="n"/>
      <c r="F496" s="62" t="n"/>
      <c r="G496" s="63" t="n"/>
      <c r="H496" s="62" t="n"/>
      <c r="K496">
        <f>IF($C496="","",IF(COUNTIF($C$3:$C496,$C496)=1,$C496,""))</f>
        <v/>
      </c>
      <c r="L496">
        <f>IF($K496="","",$M496+ROW()/10000000)</f>
        <v/>
      </c>
      <c r="M496">
        <f>IF($K496="","",SUMIF($C$3:$C$1002,$K496,$G$3:$G$1002))</f>
        <v/>
      </c>
      <c r="N496">
        <f>IF($K496="","",COUNTIF($C$3:$C$1002,$K496))</f>
        <v/>
      </c>
      <c r="P496">
        <f>IF($A496="","",$A496*100000+ROW())</f>
        <v/>
      </c>
    </row>
    <row r="497" ht="18" customHeight="1">
      <c r="A497" s="60" t="n"/>
      <c r="B497" s="61">
        <f>IF(A497="","",TEXT(A497,"mmm yyyy"))</f>
        <v/>
      </c>
      <c r="C497" s="62" t="n"/>
      <c r="D497" s="62" t="n"/>
      <c r="E497" s="62" t="n"/>
      <c r="F497" s="62" t="n"/>
      <c r="G497" s="63" t="n"/>
      <c r="H497" s="62" t="n"/>
      <c r="K497">
        <f>IF($C497="","",IF(COUNTIF($C$3:$C497,$C497)=1,$C497,""))</f>
        <v/>
      </c>
      <c r="L497">
        <f>IF($K497="","",$M497+ROW()/10000000)</f>
        <v/>
      </c>
      <c r="M497">
        <f>IF($K497="","",SUMIF($C$3:$C$1002,$K497,$G$3:$G$1002))</f>
        <v/>
      </c>
      <c r="N497">
        <f>IF($K497="","",COUNTIF($C$3:$C$1002,$K497))</f>
        <v/>
      </c>
      <c r="P497">
        <f>IF($A497="","",$A497*100000+ROW())</f>
        <v/>
      </c>
    </row>
    <row r="498" ht="18" customHeight="1">
      <c r="A498" s="60" t="n"/>
      <c r="B498" s="61">
        <f>IF(A498="","",TEXT(A498,"mmm yyyy"))</f>
        <v/>
      </c>
      <c r="C498" s="62" t="n"/>
      <c r="D498" s="62" t="n"/>
      <c r="E498" s="62" t="n"/>
      <c r="F498" s="62" t="n"/>
      <c r="G498" s="63" t="n"/>
      <c r="H498" s="62" t="n"/>
      <c r="K498">
        <f>IF($C498="","",IF(COUNTIF($C$3:$C498,$C498)=1,$C498,""))</f>
        <v/>
      </c>
      <c r="L498">
        <f>IF($K498="","",$M498+ROW()/10000000)</f>
        <v/>
      </c>
      <c r="M498">
        <f>IF($K498="","",SUMIF($C$3:$C$1002,$K498,$G$3:$G$1002))</f>
        <v/>
      </c>
      <c r="N498">
        <f>IF($K498="","",COUNTIF($C$3:$C$1002,$K498))</f>
        <v/>
      </c>
      <c r="P498">
        <f>IF($A498="","",$A498*100000+ROW())</f>
        <v/>
      </c>
    </row>
    <row r="499" ht="18" customHeight="1">
      <c r="A499" s="60" t="n"/>
      <c r="B499" s="61">
        <f>IF(A499="","",TEXT(A499,"mmm yyyy"))</f>
        <v/>
      </c>
      <c r="C499" s="62" t="n"/>
      <c r="D499" s="62" t="n"/>
      <c r="E499" s="62" t="n"/>
      <c r="F499" s="62" t="n"/>
      <c r="G499" s="63" t="n"/>
      <c r="H499" s="62" t="n"/>
      <c r="K499">
        <f>IF($C499="","",IF(COUNTIF($C$3:$C499,$C499)=1,$C499,""))</f>
        <v/>
      </c>
      <c r="L499">
        <f>IF($K499="","",$M499+ROW()/10000000)</f>
        <v/>
      </c>
      <c r="M499">
        <f>IF($K499="","",SUMIF($C$3:$C$1002,$K499,$G$3:$G$1002))</f>
        <v/>
      </c>
      <c r="N499">
        <f>IF($K499="","",COUNTIF($C$3:$C$1002,$K499))</f>
        <v/>
      </c>
      <c r="P499">
        <f>IF($A499="","",$A499*100000+ROW())</f>
        <v/>
      </c>
    </row>
    <row r="500" ht="18" customHeight="1">
      <c r="A500" s="60" t="n"/>
      <c r="B500" s="61">
        <f>IF(A500="","",TEXT(A500,"mmm yyyy"))</f>
        <v/>
      </c>
      <c r="C500" s="62" t="n"/>
      <c r="D500" s="62" t="n"/>
      <c r="E500" s="62" t="n"/>
      <c r="F500" s="62" t="n"/>
      <c r="G500" s="63" t="n"/>
      <c r="H500" s="62" t="n"/>
      <c r="K500">
        <f>IF($C500="","",IF(COUNTIF($C$3:$C500,$C500)=1,$C500,""))</f>
        <v/>
      </c>
      <c r="L500">
        <f>IF($K500="","",$M500+ROW()/10000000)</f>
        <v/>
      </c>
      <c r="M500">
        <f>IF($K500="","",SUMIF($C$3:$C$1002,$K500,$G$3:$G$1002))</f>
        <v/>
      </c>
      <c r="N500">
        <f>IF($K500="","",COUNTIF($C$3:$C$1002,$K500))</f>
        <v/>
      </c>
      <c r="P500">
        <f>IF($A500="","",$A500*100000+ROW())</f>
        <v/>
      </c>
    </row>
    <row r="501" ht="18" customHeight="1">
      <c r="A501" s="60" t="n"/>
      <c r="B501" s="61">
        <f>IF(A501="","",TEXT(A501,"mmm yyyy"))</f>
        <v/>
      </c>
      <c r="C501" s="62" t="n"/>
      <c r="D501" s="62" t="n"/>
      <c r="E501" s="62" t="n"/>
      <c r="F501" s="62" t="n"/>
      <c r="G501" s="63" t="n"/>
      <c r="H501" s="62" t="n"/>
      <c r="K501">
        <f>IF($C501="","",IF(COUNTIF($C$3:$C501,$C501)=1,$C501,""))</f>
        <v/>
      </c>
      <c r="L501">
        <f>IF($K501="","",$M501+ROW()/10000000)</f>
        <v/>
      </c>
      <c r="M501">
        <f>IF($K501="","",SUMIF($C$3:$C$1002,$K501,$G$3:$G$1002))</f>
        <v/>
      </c>
      <c r="N501">
        <f>IF($K501="","",COUNTIF($C$3:$C$1002,$K501))</f>
        <v/>
      </c>
      <c r="P501">
        <f>IF($A501="","",$A501*100000+ROW())</f>
        <v/>
      </c>
    </row>
    <row r="502" ht="18" customHeight="1">
      <c r="A502" s="60" t="n"/>
      <c r="B502" s="61">
        <f>IF(A502="","",TEXT(A502,"mmm yyyy"))</f>
        <v/>
      </c>
      <c r="C502" s="62" t="n"/>
      <c r="D502" s="62" t="n"/>
      <c r="E502" s="62" t="n"/>
      <c r="F502" s="62" t="n"/>
      <c r="G502" s="63" t="n"/>
      <c r="H502" s="62" t="n"/>
      <c r="K502">
        <f>IF($C502="","",IF(COUNTIF($C$3:$C502,$C502)=1,$C502,""))</f>
        <v/>
      </c>
      <c r="L502">
        <f>IF($K502="","",$M502+ROW()/10000000)</f>
        <v/>
      </c>
      <c r="M502">
        <f>IF($K502="","",SUMIF($C$3:$C$1002,$K502,$G$3:$G$1002))</f>
        <v/>
      </c>
      <c r="N502">
        <f>IF($K502="","",COUNTIF($C$3:$C$1002,$K502))</f>
        <v/>
      </c>
      <c r="P502">
        <f>IF($A502="","",$A502*100000+ROW())</f>
        <v/>
      </c>
    </row>
    <row r="503" ht="18" customHeight="1">
      <c r="A503" s="60" t="n"/>
      <c r="B503" s="61">
        <f>IF(A503="","",TEXT(A503,"mmm yyyy"))</f>
        <v/>
      </c>
      <c r="C503" s="62" t="n"/>
      <c r="D503" s="62" t="n"/>
      <c r="E503" s="62" t="n"/>
      <c r="F503" s="62" t="n"/>
      <c r="G503" s="63" t="n"/>
      <c r="H503" s="62" t="n"/>
      <c r="K503">
        <f>IF($C503="","",IF(COUNTIF($C$3:$C503,$C503)=1,$C503,""))</f>
        <v/>
      </c>
      <c r="L503">
        <f>IF($K503="","",$M503+ROW()/10000000)</f>
        <v/>
      </c>
      <c r="M503">
        <f>IF($K503="","",SUMIF($C$3:$C$1002,$K503,$G$3:$G$1002))</f>
        <v/>
      </c>
      <c r="N503">
        <f>IF($K503="","",COUNTIF($C$3:$C$1002,$K503))</f>
        <v/>
      </c>
      <c r="P503">
        <f>IF($A503="","",$A503*100000+ROW())</f>
        <v/>
      </c>
    </row>
    <row r="504" ht="18" customHeight="1">
      <c r="A504" s="60" t="n"/>
      <c r="B504" s="61">
        <f>IF(A504="","",TEXT(A504,"mmm yyyy"))</f>
        <v/>
      </c>
      <c r="C504" s="62" t="n"/>
      <c r="D504" s="62" t="n"/>
      <c r="E504" s="62" t="n"/>
      <c r="F504" s="62" t="n"/>
      <c r="G504" s="63" t="n"/>
      <c r="H504" s="62" t="n"/>
      <c r="K504">
        <f>IF($C504="","",IF(COUNTIF($C$3:$C504,$C504)=1,$C504,""))</f>
        <v/>
      </c>
      <c r="L504">
        <f>IF($K504="","",$M504+ROW()/10000000)</f>
        <v/>
      </c>
      <c r="M504">
        <f>IF($K504="","",SUMIF($C$3:$C$1002,$K504,$G$3:$G$1002))</f>
        <v/>
      </c>
      <c r="N504">
        <f>IF($K504="","",COUNTIF($C$3:$C$1002,$K504))</f>
        <v/>
      </c>
      <c r="P504">
        <f>IF($A504="","",$A504*100000+ROW())</f>
        <v/>
      </c>
    </row>
    <row r="505" ht="18" customHeight="1">
      <c r="A505" s="60" t="n"/>
      <c r="B505" s="61">
        <f>IF(A505="","",TEXT(A505,"mmm yyyy"))</f>
        <v/>
      </c>
      <c r="C505" s="62" t="n"/>
      <c r="D505" s="62" t="n"/>
      <c r="E505" s="62" t="n"/>
      <c r="F505" s="62" t="n"/>
      <c r="G505" s="63" t="n"/>
      <c r="H505" s="62" t="n"/>
      <c r="K505">
        <f>IF($C505="","",IF(COUNTIF($C$3:$C505,$C505)=1,$C505,""))</f>
        <v/>
      </c>
      <c r="L505">
        <f>IF($K505="","",$M505+ROW()/10000000)</f>
        <v/>
      </c>
      <c r="M505">
        <f>IF($K505="","",SUMIF($C$3:$C$1002,$K505,$G$3:$G$1002))</f>
        <v/>
      </c>
      <c r="N505">
        <f>IF($K505="","",COUNTIF($C$3:$C$1002,$K505))</f>
        <v/>
      </c>
      <c r="P505">
        <f>IF($A505="","",$A505*100000+ROW())</f>
        <v/>
      </c>
    </row>
    <row r="506" ht="18" customHeight="1">
      <c r="A506" s="60" t="n"/>
      <c r="B506" s="61">
        <f>IF(A506="","",TEXT(A506,"mmm yyyy"))</f>
        <v/>
      </c>
      <c r="C506" s="62" t="n"/>
      <c r="D506" s="62" t="n"/>
      <c r="E506" s="62" t="n"/>
      <c r="F506" s="62" t="n"/>
      <c r="G506" s="63" t="n"/>
      <c r="H506" s="62" t="n"/>
      <c r="K506">
        <f>IF($C506="","",IF(COUNTIF($C$3:$C506,$C506)=1,$C506,""))</f>
        <v/>
      </c>
      <c r="L506">
        <f>IF($K506="","",$M506+ROW()/10000000)</f>
        <v/>
      </c>
      <c r="M506">
        <f>IF($K506="","",SUMIF($C$3:$C$1002,$K506,$G$3:$G$1002))</f>
        <v/>
      </c>
      <c r="N506">
        <f>IF($K506="","",COUNTIF($C$3:$C$1002,$K506))</f>
        <v/>
      </c>
      <c r="P506">
        <f>IF($A506="","",$A506*100000+ROW())</f>
        <v/>
      </c>
    </row>
    <row r="507" ht="18" customHeight="1">
      <c r="A507" s="60" t="n"/>
      <c r="B507" s="61">
        <f>IF(A507="","",TEXT(A507,"mmm yyyy"))</f>
        <v/>
      </c>
      <c r="C507" s="62" t="n"/>
      <c r="D507" s="62" t="n"/>
      <c r="E507" s="62" t="n"/>
      <c r="F507" s="62" t="n"/>
      <c r="G507" s="63" t="n"/>
      <c r="H507" s="62" t="n"/>
      <c r="K507">
        <f>IF($C507="","",IF(COUNTIF($C$3:$C507,$C507)=1,$C507,""))</f>
        <v/>
      </c>
      <c r="L507">
        <f>IF($K507="","",$M507+ROW()/10000000)</f>
        <v/>
      </c>
      <c r="M507">
        <f>IF($K507="","",SUMIF($C$3:$C$1002,$K507,$G$3:$G$1002))</f>
        <v/>
      </c>
      <c r="N507">
        <f>IF($K507="","",COUNTIF($C$3:$C$1002,$K507))</f>
        <v/>
      </c>
      <c r="P507">
        <f>IF($A507="","",$A507*100000+ROW())</f>
        <v/>
      </c>
    </row>
    <row r="508" ht="18" customHeight="1">
      <c r="A508" s="60" t="n"/>
      <c r="B508" s="61">
        <f>IF(A508="","",TEXT(A508,"mmm yyyy"))</f>
        <v/>
      </c>
      <c r="C508" s="62" t="n"/>
      <c r="D508" s="62" t="n"/>
      <c r="E508" s="62" t="n"/>
      <c r="F508" s="62" t="n"/>
      <c r="G508" s="63" t="n"/>
      <c r="H508" s="62" t="n"/>
      <c r="K508">
        <f>IF($C508="","",IF(COUNTIF($C$3:$C508,$C508)=1,$C508,""))</f>
        <v/>
      </c>
      <c r="L508">
        <f>IF($K508="","",$M508+ROW()/10000000)</f>
        <v/>
      </c>
      <c r="M508">
        <f>IF($K508="","",SUMIF($C$3:$C$1002,$K508,$G$3:$G$1002))</f>
        <v/>
      </c>
      <c r="N508">
        <f>IF($K508="","",COUNTIF($C$3:$C$1002,$K508))</f>
        <v/>
      </c>
      <c r="P508">
        <f>IF($A508="","",$A508*100000+ROW())</f>
        <v/>
      </c>
    </row>
    <row r="509" ht="18" customHeight="1">
      <c r="A509" s="60" t="n"/>
      <c r="B509" s="61">
        <f>IF(A509="","",TEXT(A509,"mmm yyyy"))</f>
        <v/>
      </c>
      <c r="C509" s="62" t="n"/>
      <c r="D509" s="62" t="n"/>
      <c r="E509" s="62" t="n"/>
      <c r="F509" s="62" t="n"/>
      <c r="G509" s="63" t="n"/>
      <c r="H509" s="62" t="n"/>
      <c r="K509">
        <f>IF($C509="","",IF(COUNTIF($C$3:$C509,$C509)=1,$C509,""))</f>
        <v/>
      </c>
      <c r="L509">
        <f>IF($K509="","",$M509+ROW()/10000000)</f>
        <v/>
      </c>
      <c r="M509">
        <f>IF($K509="","",SUMIF($C$3:$C$1002,$K509,$G$3:$G$1002))</f>
        <v/>
      </c>
      <c r="N509">
        <f>IF($K509="","",COUNTIF($C$3:$C$1002,$K509))</f>
        <v/>
      </c>
      <c r="P509">
        <f>IF($A509="","",$A509*100000+ROW())</f>
        <v/>
      </c>
    </row>
    <row r="510" ht="18" customHeight="1">
      <c r="A510" s="60" t="n"/>
      <c r="B510" s="61">
        <f>IF(A510="","",TEXT(A510,"mmm yyyy"))</f>
        <v/>
      </c>
      <c r="C510" s="62" t="n"/>
      <c r="D510" s="62" t="n"/>
      <c r="E510" s="62" t="n"/>
      <c r="F510" s="62" t="n"/>
      <c r="G510" s="63" t="n"/>
      <c r="H510" s="62" t="n"/>
      <c r="K510">
        <f>IF($C510="","",IF(COUNTIF($C$3:$C510,$C510)=1,$C510,""))</f>
        <v/>
      </c>
      <c r="L510">
        <f>IF($K510="","",$M510+ROW()/10000000)</f>
        <v/>
      </c>
      <c r="M510">
        <f>IF($K510="","",SUMIF($C$3:$C$1002,$K510,$G$3:$G$1002))</f>
        <v/>
      </c>
      <c r="N510">
        <f>IF($K510="","",COUNTIF($C$3:$C$1002,$K510))</f>
        <v/>
      </c>
      <c r="P510">
        <f>IF($A510="","",$A510*100000+ROW())</f>
        <v/>
      </c>
    </row>
    <row r="511" ht="18" customHeight="1">
      <c r="A511" s="60" t="n"/>
      <c r="B511" s="61">
        <f>IF(A511="","",TEXT(A511,"mmm yyyy"))</f>
        <v/>
      </c>
      <c r="C511" s="62" t="n"/>
      <c r="D511" s="62" t="n"/>
      <c r="E511" s="62" t="n"/>
      <c r="F511" s="62" t="n"/>
      <c r="G511" s="63" t="n"/>
      <c r="H511" s="62" t="n"/>
      <c r="K511">
        <f>IF($C511="","",IF(COUNTIF($C$3:$C511,$C511)=1,$C511,""))</f>
        <v/>
      </c>
      <c r="L511">
        <f>IF($K511="","",$M511+ROW()/10000000)</f>
        <v/>
      </c>
      <c r="M511">
        <f>IF($K511="","",SUMIF($C$3:$C$1002,$K511,$G$3:$G$1002))</f>
        <v/>
      </c>
      <c r="N511">
        <f>IF($K511="","",COUNTIF($C$3:$C$1002,$K511))</f>
        <v/>
      </c>
      <c r="P511">
        <f>IF($A511="","",$A511*100000+ROW())</f>
        <v/>
      </c>
    </row>
    <row r="512" ht="18" customHeight="1">
      <c r="A512" s="60" t="n"/>
      <c r="B512" s="61">
        <f>IF(A512="","",TEXT(A512,"mmm yyyy"))</f>
        <v/>
      </c>
      <c r="C512" s="62" t="n"/>
      <c r="D512" s="62" t="n"/>
      <c r="E512" s="62" t="n"/>
      <c r="F512" s="62" t="n"/>
      <c r="G512" s="63" t="n"/>
      <c r="H512" s="62" t="n"/>
      <c r="K512">
        <f>IF($C512="","",IF(COUNTIF($C$3:$C512,$C512)=1,$C512,""))</f>
        <v/>
      </c>
      <c r="L512">
        <f>IF($K512="","",$M512+ROW()/10000000)</f>
        <v/>
      </c>
      <c r="M512">
        <f>IF($K512="","",SUMIF($C$3:$C$1002,$K512,$G$3:$G$1002))</f>
        <v/>
      </c>
      <c r="N512">
        <f>IF($K512="","",COUNTIF($C$3:$C$1002,$K512))</f>
        <v/>
      </c>
      <c r="P512">
        <f>IF($A512="","",$A512*100000+ROW())</f>
        <v/>
      </c>
    </row>
    <row r="513" ht="18" customHeight="1">
      <c r="A513" s="60" t="n"/>
      <c r="B513" s="61">
        <f>IF(A513="","",TEXT(A513,"mmm yyyy"))</f>
        <v/>
      </c>
      <c r="C513" s="62" t="n"/>
      <c r="D513" s="62" t="n"/>
      <c r="E513" s="62" t="n"/>
      <c r="F513" s="62" t="n"/>
      <c r="G513" s="63" t="n"/>
      <c r="H513" s="62" t="n"/>
      <c r="K513">
        <f>IF($C513="","",IF(COUNTIF($C$3:$C513,$C513)=1,$C513,""))</f>
        <v/>
      </c>
      <c r="L513">
        <f>IF($K513="","",$M513+ROW()/10000000)</f>
        <v/>
      </c>
      <c r="M513">
        <f>IF($K513="","",SUMIF($C$3:$C$1002,$K513,$G$3:$G$1002))</f>
        <v/>
      </c>
      <c r="N513">
        <f>IF($K513="","",COUNTIF($C$3:$C$1002,$K513))</f>
        <v/>
      </c>
      <c r="P513">
        <f>IF($A513="","",$A513*100000+ROW())</f>
        <v/>
      </c>
    </row>
    <row r="514" ht="18" customHeight="1">
      <c r="A514" s="60" t="n"/>
      <c r="B514" s="61">
        <f>IF(A514="","",TEXT(A514,"mmm yyyy"))</f>
        <v/>
      </c>
      <c r="C514" s="62" t="n"/>
      <c r="D514" s="62" t="n"/>
      <c r="E514" s="62" t="n"/>
      <c r="F514" s="62" t="n"/>
      <c r="G514" s="63" t="n"/>
      <c r="H514" s="62" t="n"/>
      <c r="K514">
        <f>IF($C514="","",IF(COUNTIF($C$3:$C514,$C514)=1,$C514,""))</f>
        <v/>
      </c>
      <c r="L514">
        <f>IF($K514="","",$M514+ROW()/10000000)</f>
        <v/>
      </c>
      <c r="M514">
        <f>IF($K514="","",SUMIF($C$3:$C$1002,$K514,$G$3:$G$1002))</f>
        <v/>
      </c>
      <c r="N514">
        <f>IF($K514="","",COUNTIF($C$3:$C$1002,$K514))</f>
        <v/>
      </c>
      <c r="P514">
        <f>IF($A514="","",$A514*100000+ROW())</f>
        <v/>
      </c>
    </row>
    <row r="515" ht="18" customHeight="1">
      <c r="A515" s="60" t="n"/>
      <c r="B515" s="61">
        <f>IF(A515="","",TEXT(A515,"mmm yyyy"))</f>
        <v/>
      </c>
      <c r="C515" s="62" t="n"/>
      <c r="D515" s="62" t="n"/>
      <c r="E515" s="62" t="n"/>
      <c r="F515" s="62" t="n"/>
      <c r="G515" s="63" t="n"/>
      <c r="H515" s="62" t="n"/>
      <c r="K515">
        <f>IF($C515="","",IF(COUNTIF($C$3:$C515,$C515)=1,$C515,""))</f>
        <v/>
      </c>
      <c r="L515">
        <f>IF($K515="","",$M515+ROW()/10000000)</f>
        <v/>
      </c>
      <c r="M515">
        <f>IF($K515="","",SUMIF($C$3:$C$1002,$K515,$G$3:$G$1002))</f>
        <v/>
      </c>
      <c r="N515">
        <f>IF($K515="","",COUNTIF($C$3:$C$1002,$K515))</f>
        <v/>
      </c>
      <c r="P515">
        <f>IF($A515="","",$A515*100000+ROW())</f>
        <v/>
      </c>
    </row>
    <row r="516" ht="18" customHeight="1">
      <c r="A516" s="60" t="n"/>
      <c r="B516" s="61">
        <f>IF(A516="","",TEXT(A516,"mmm yyyy"))</f>
        <v/>
      </c>
      <c r="C516" s="62" t="n"/>
      <c r="D516" s="62" t="n"/>
      <c r="E516" s="62" t="n"/>
      <c r="F516" s="62" t="n"/>
      <c r="G516" s="63" t="n"/>
      <c r="H516" s="62" t="n"/>
      <c r="K516">
        <f>IF($C516="","",IF(COUNTIF($C$3:$C516,$C516)=1,$C516,""))</f>
        <v/>
      </c>
      <c r="L516">
        <f>IF($K516="","",$M516+ROW()/10000000)</f>
        <v/>
      </c>
      <c r="M516">
        <f>IF($K516="","",SUMIF($C$3:$C$1002,$K516,$G$3:$G$1002))</f>
        <v/>
      </c>
      <c r="N516">
        <f>IF($K516="","",COUNTIF($C$3:$C$1002,$K516))</f>
        <v/>
      </c>
      <c r="P516">
        <f>IF($A516="","",$A516*100000+ROW())</f>
        <v/>
      </c>
    </row>
    <row r="517" ht="18" customHeight="1">
      <c r="A517" s="60" t="n"/>
      <c r="B517" s="61">
        <f>IF(A517="","",TEXT(A517,"mmm yyyy"))</f>
        <v/>
      </c>
      <c r="C517" s="62" t="n"/>
      <c r="D517" s="62" t="n"/>
      <c r="E517" s="62" t="n"/>
      <c r="F517" s="62" t="n"/>
      <c r="G517" s="63" t="n"/>
      <c r="H517" s="62" t="n"/>
      <c r="K517">
        <f>IF($C517="","",IF(COUNTIF($C$3:$C517,$C517)=1,$C517,""))</f>
        <v/>
      </c>
      <c r="L517">
        <f>IF($K517="","",$M517+ROW()/10000000)</f>
        <v/>
      </c>
      <c r="M517">
        <f>IF($K517="","",SUMIF($C$3:$C$1002,$K517,$G$3:$G$1002))</f>
        <v/>
      </c>
      <c r="N517">
        <f>IF($K517="","",COUNTIF($C$3:$C$1002,$K517))</f>
        <v/>
      </c>
      <c r="P517">
        <f>IF($A517="","",$A517*100000+ROW())</f>
        <v/>
      </c>
    </row>
    <row r="518" ht="18" customHeight="1">
      <c r="A518" s="60" t="n"/>
      <c r="B518" s="61">
        <f>IF(A518="","",TEXT(A518,"mmm yyyy"))</f>
        <v/>
      </c>
      <c r="C518" s="62" t="n"/>
      <c r="D518" s="62" t="n"/>
      <c r="E518" s="62" t="n"/>
      <c r="F518" s="62" t="n"/>
      <c r="G518" s="63" t="n"/>
      <c r="H518" s="62" t="n"/>
      <c r="K518">
        <f>IF($C518="","",IF(COUNTIF($C$3:$C518,$C518)=1,$C518,""))</f>
        <v/>
      </c>
      <c r="L518">
        <f>IF($K518="","",$M518+ROW()/10000000)</f>
        <v/>
      </c>
      <c r="M518">
        <f>IF($K518="","",SUMIF($C$3:$C$1002,$K518,$G$3:$G$1002))</f>
        <v/>
      </c>
      <c r="N518">
        <f>IF($K518="","",COUNTIF($C$3:$C$1002,$K518))</f>
        <v/>
      </c>
      <c r="P518">
        <f>IF($A518="","",$A518*100000+ROW())</f>
        <v/>
      </c>
    </row>
    <row r="519" ht="18" customHeight="1">
      <c r="A519" s="60" t="n"/>
      <c r="B519" s="61">
        <f>IF(A519="","",TEXT(A519,"mmm yyyy"))</f>
        <v/>
      </c>
      <c r="C519" s="62" t="n"/>
      <c r="D519" s="62" t="n"/>
      <c r="E519" s="62" t="n"/>
      <c r="F519" s="62" t="n"/>
      <c r="G519" s="63" t="n"/>
      <c r="H519" s="62" t="n"/>
      <c r="K519">
        <f>IF($C519="","",IF(COUNTIF($C$3:$C519,$C519)=1,$C519,""))</f>
        <v/>
      </c>
      <c r="L519">
        <f>IF($K519="","",$M519+ROW()/10000000)</f>
        <v/>
      </c>
      <c r="M519">
        <f>IF($K519="","",SUMIF($C$3:$C$1002,$K519,$G$3:$G$1002))</f>
        <v/>
      </c>
      <c r="N519">
        <f>IF($K519="","",COUNTIF($C$3:$C$1002,$K519))</f>
        <v/>
      </c>
      <c r="P519">
        <f>IF($A519="","",$A519*100000+ROW())</f>
        <v/>
      </c>
    </row>
    <row r="520" ht="18" customHeight="1">
      <c r="A520" s="60" t="n"/>
      <c r="B520" s="61">
        <f>IF(A520="","",TEXT(A520,"mmm yyyy"))</f>
        <v/>
      </c>
      <c r="C520" s="62" t="n"/>
      <c r="D520" s="62" t="n"/>
      <c r="E520" s="62" t="n"/>
      <c r="F520" s="62" t="n"/>
      <c r="G520" s="63" t="n"/>
      <c r="H520" s="62" t="n"/>
      <c r="K520">
        <f>IF($C520="","",IF(COUNTIF($C$3:$C520,$C520)=1,$C520,""))</f>
        <v/>
      </c>
      <c r="L520">
        <f>IF($K520="","",$M520+ROW()/10000000)</f>
        <v/>
      </c>
      <c r="M520">
        <f>IF($K520="","",SUMIF($C$3:$C$1002,$K520,$G$3:$G$1002))</f>
        <v/>
      </c>
      <c r="N520">
        <f>IF($K520="","",COUNTIF($C$3:$C$1002,$K520))</f>
        <v/>
      </c>
      <c r="P520">
        <f>IF($A520="","",$A520*100000+ROW())</f>
        <v/>
      </c>
    </row>
    <row r="521" ht="18" customHeight="1">
      <c r="A521" s="60" t="n"/>
      <c r="B521" s="61">
        <f>IF(A521="","",TEXT(A521,"mmm yyyy"))</f>
        <v/>
      </c>
      <c r="C521" s="62" t="n"/>
      <c r="D521" s="62" t="n"/>
      <c r="E521" s="62" t="n"/>
      <c r="F521" s="62" t="n"/>
      <c r="G521" s="63" t="n"/>
      <c r="H521" s="62" t="n"/>
      <c r="K521">
        <f>IF($C521="","",IF(COUNTIF($C$3:$C521,$C521)=1,$C521,""))</f>
        <v/>
      </c>
      <c r="L521">
        <f>IF($K521="","",$M521+ROW()/10000000)</f>
        <v/>
      </c>
      <c r="M521">
        <f>IF($K521="","",SUMIF($C$3:$C$1002,$K521,$G$3:$G$1002))</f>
        <v/>
      </c>
      <c r="N521">
        <f>IF($K521="","",COUNTIF($C$3:$C$1002,$K521))</f>
        <v/>
      </c>
      <c r="P521">
        <f>IF($A521="","",$A521*100000+ROW())</f>
        <v/>
      </c>
    </row>
    <row r="522" ht="18" customHeight="1">
      <c r="A522" s="60" t="n"/>
      <c r="B522" s="61">
        <f>IF(A522="","",TEXT(A522,"mmm yyyy"))</f>
        <v/>
      </c>
      <c r="C522" s="62" t="n"/>
      <c r="D522" s="62" t="n"/>
      <c r="E522" s="62" t="n"/>
      <c r="F522" s="62" t="n"/>
      <c r="G522" s="63" t="n"/>
      <c r="H522" s="62" t="n"/>
      <c r="K522">
        <f>IF($C522="","",IF(COUNTIF($C$3:$C522,$C522)=1,$C522,""))</f>
        <v/>
      </c>
      <c r="L522">
        <f>IF($K522="","",$M522+ROW()/10000000)</f>
        <v/>
      </c>
      <c r="M522">
        <f>IF($K522="","",SUMIF($C$3:$C$1002,$K522,$G$3:$G$1002))</f>
        <v/>
      </c>
      <c r="N522">
        <f>IF($K522="","",COUNTIF($C$3:$C$1002,$K522))</f>
        <v/>
      </c>
      <c r="P522">
        <f>IF($A522="","",$A522*100000+ROW())</f>
        <v/>
      </c>
    </row>
    <row r="523" ht="18" customHeight="1">
      <c r="A523" s="60" t="n"/>
      <c r="B523" s="61">
        <f>IF(A523="","",TEXT(A523,"mmm yyyy"))</f>
        <v/>
      </c>
      <c r="C523" s="62" t="n"/>
      <c r="D523" s="62" t="n"/>
      <c r="E523" s="62" t="n"/>
      <c r="F523" s="62" t="n"/>
      <c r="G523" s="63" t="n"/>
      <c r="H523" s="62" t="n"/>
      <c r="K523">
        <f>IF($C523="","",IF(COUNTIF($C$3:$C523,$C523)=1,$C523,""))</f>
        <v/>
      </c>
      <c r="L523">
        <f>IF($K523="","",$M523+ROW()/10000000)</f>
        <v/>
      </c>
      <c r="M523">
        <f>IF($K523="","",SUMIF($C$3:$C$1002,$K523,$G$3:$G$1002))</f>
        <v/>
      </c>
      <c r="N523">
        <f>IF($K523="","",COUNTIF($C$3:$C$1002,$K523))</f>
        <v/>
      </c>
      <c r="P523">
        <f>IF($A523="","",$A523*100000+ROW())</f>
        <v/>
      </c>
    </row>
    <row r="524" ht="18" customHeight="1">
      <c r="A524" s="60" t="n"/>
      <c r="B524" s="61">
        <f>IF(A524="","",TEXT(A524,"mmm yyyy"))</f>
        <v/>
      </c>
      <c r="C524" s="62" t="n"/>
      <c r="D524" s="62" t="n"/>
      <c r="E524" s="62" t="n"/>
      <c r="F524" s="62" t="n"/>
      <c r="G524" s="63" t="n"/>
      <c r="H524" s="62" t="n"/>
      <c r="K524">
        <f>IF($C524="","",IF(COUNTIF($C$3:$C524,$C524)=1,$C524,""))</f>
        <v/>
      </c>
      <c r="L524">
        <f>IF($K524="","",$M524+ROW()/10000000)</f>
        <v/>
      </c>
      <c r="M524">
        <f>IF($K524="","",SUMIF($C$3:$C$1002,$K524,$G$3:$G$1002))</f>
        <v/>
      </c>
      <c r="N524">
        <f>IF($K524="","",COUNTIF($C$3:$C$1002,$K524))</f>
        <v/>
      </c>
      <c r="P524">
        <f>IF($A524="","",$A524*100000+ROW())</f>
        <v/>
      </c>
    </row>
    <row r="525" ht="18" customHeight="1">
      <c r="A525" s="60" t="n"/>
      <c r="B525" s="61">
        <f>IF(A525="","",TEXT(A525,"mmm yyyy"))</f>
        <v/>
      </c>
      <c r="C525" s="62" t="n"/>
      <c r="D525" s="62" t="n"/>
      <c r="E525" s="62" t="n"/>
      <c r="F525" s="62" t="n"/>
      <c r="G525" s="63" t="n"/>
      <c r="H525" s="62" t="n"/>
      <c r="K525">
        <f>IF($C525="","",IF(COUNTIF($C$3:$C525,$C525)=1,$C525,""))</f>
        <v/>
      </c>
      <c r="L525">
        <f>IF($K525="","",$M525+ROW()/10000000)</f>
        <v/>
      </c>
      <c r="M525">
        <f>IF($K525="","",SUMIF($C$3:$C$1002,$K525,$G$3:$G$1002))</f>
        <v/>
      </c>
      <c r="N525">
        <f>IF($K525="","",COUNTIF($C$3:$C$1002,$K525))</f>
        <v/>
      </c>
      <c r="P525">
        <f>IF($A525="","",$A525*100000+ROW())</f>
        <v/>
      </c>
    </row>
    <row r="526" ht="18" customHeight="1">
      <c r="A526" s="60" t="n"/>
      <c r="B526" s="61">
        <f>IF(A526="","",TEXT(A526,"mmm yyyy"))</f>
        <v/>
      </c>
      <c r="C526" s="62" t="n"/>
      <c r="D526" s="62" t="n"/>
      <c r="E526" s="62" t="n"/>
      <c r="F526" s="62" t="n"/>
      <c r="G526" s="63" t="n"/>
      <c r="H526" s="62" t="n"/>
      <c r="K526">
        <f>IF($C526="","",IF(COUNTIF($C$3:$C526,$C526)=1,$C526,""))</f>
        <v/>
      </c>
      <c r="L526">
        <f>IF($K526="","",$M526+ROW()/10000000)</f>
        <v/>
      </c>
      <c r="M526">
        <f>IF($K526="","",SUMIF($C$3:$C$1002,$K526,$G$3:$G$1002))</f>
        <v/>
      </c>
      <c r="N526">
        <f>IF($K526="","",COUNTIF($C$3:$C$1002,$K526))</f>
        <v/>
      </c>
      <c r="P526">
        <f>IF($A526="","",$A526*100000+ROW())</f>
        <v/>
      </c>
    </row>
    <row r="527" ht="18" customHeight="1">
      <c r="A527" s="60" t="n"/>
      <c r="B527" s="61">
        <f>IF(A527="","",TEXT(A527,"mmm yyyy"))</f>
        <v/>
      </c>
      <c r="C527" s="62" t="n"/>
      <c r="D527" s="62" t="n"/>
      <c r="E527" s="62" t="n"/>
      <c r="F527" s="62" t="n"/>
      <c r="G527" s="63" t="n"/>
      <c r="H527" s="62" t="n"/>
      <c r="K527">
        <f>IF($C527="","",IF(COUNTIF($C$3:$C527,$C527)=1,$C527,""))</f>
        <v/>
      </c>
      <c r="L527">
        <f>IF($K527="","",$M527+ROW()/10000000)</f>
        <v/>
      </c>
      <c r="M527">
        <f>IF($K527="","",SUMIF($C$3:$C$1002,$K527,$G$3:$G$1002))</f>
        <v/>
      </c>
      <c r="N527">
        <f>IF($K527="","",COUNTIF($C$3:$C$1002,$K527))</f>
        <v/>
      </c>
      <c r="P527">
        <f>IF($A527="","",$A527*100000+ROW())</f>
        <v/>
      </c>
    </row>
    <row r="528" ht="18" customHeight="1">
      <c r="A528" s="60" t="n"/>
      <c r="B528" s="61">
        <f>IF(A528="","",TEXT(A528,"mmm yyyy"))</f>
        <v/>
      </c>
      <c r="C528" s="62" t="n"/>
      <c r="D528" s="62" t="n"/>
      <c r="E528" s="62" t="n"/>
      <c r="F528" s="62" t="n"/>
      <c r="G528" s="63" t="n"/>
      <c r="H528" s="62" t="n"/>
      <c r="K528">
        <f>IF($C528="","",IF(COUNTIF($C$3:$C528,$C528)=1,$C528,""))</f>
        <v/>
      </c>
      <c r="L528">
        <f>IF($K528="","",$M528+ROW()/10000000)</f>
        <v/>
      </c>
      <c r="M528">
        <f>IF($K528="","",SUMIF($C$3:$C$1002,$K528,$G$3:$G$1002))</f>
        <v/>
      </c>
      <c r="N528">
        <f>IF($K528="","",COUNTIF($C$3:$C$1002,$K528))</f>
        <v/>
      </c>
      <c r="P528">
        <f>IF($A528="","",$A528*100000+ROW())</f>
        <v/>
      </c>
    </row>
    <row r="529" ht="18" customHeight="1">
      <c r="A529" s="60" t="n"/>
      <c r="B529" s="61">
        <f>IF(A529="","",TEXT(A529,"mmm yyyy"))</f>
        <v/>
      </c>
      <c r="C529" s="62" t="n"/>
      <c r="D529" s="62" t="n"/>
      <c r="E529" s="62" t="n"/>
      <c r="F529" s="62" t="n"/>
      <c r="G529" s="63" t="n"/>
      <c r="H529" s="62" t="n"/>
      <c r="K529">
        <f>IF($C529="","",IF(COUNTIF($C$3:$C529,$C529)=1,$C529,""))</f>
        <v/>
      </c>
      <c r="L529">
        <f>IF($K529="","",$M529+ROW()/10000000)</f>
        <v/>
      </c>
      <c r="M529">
        <f>IF($K529="","",SUMIF($C$3:$C$1002,$K529,$G$3:$G$1002))</f>
        <v/>
      </c>
      <c r="N529">
        <f>IF($K529="","",COUNTIF($C$3:$C$1002,$K529))</f>
        <v/>
      </c>
      <c r="P529">
        <f>IF($A529="","",$A529*100000+ROW())</f>
        <v/>
      </c>
    </row>
    <row r="530" ht="18" customHeight="1">
      <c r="A530" s="60" t="n"/>
      <c r="B530" s="61">
        <f>IF(A530="","",TEXT(A530,"mmm yyyy"))</f>
        <v/>
      </c>
      <c r="C530" s="62" t="n"/>
      <c r="D530" s="62" t="n"/>
      <c r="E530" s="62" t="n"/>
      <c r="F530" s="62" t="n"/>
      <c r="G530" s="63" t="n"/>
      <c r="H530" s="62" t="n"/>
      <c r="K530">
        <f>IF($C530="","",IF(COUNTIF($C$3:$C530,$C530)=1,$C530,""))</f>
        <v/>
      </c>
      <c r="L530">
        <f>IF($K530="","",$M530+ROW()/10000000)</f>
        <v/>
      </c>
      <c r="M530">
        <f>IF($K530="","",SUMIF($C$3:$C$1002,$K530,$G$3:$G$1002))</f>
        <v/>
      </c>
      <c r="N530">
        <f>IF($K530="","",COUNTIF($C$3:$C$1002,$K530))</f>
        <v/>
      </c>
      <c r="P530">
        <f>IF($A530="","",$A530*100000+ROW())</f>
        <v/>
      </c>
    </row>
    <row r="531" ht="18" customHeight="1">
      <c r="A531" s="60" t="n"/>
      <c r="B531" s="61">
        <f>IF(A531="","",TEXT(A531,"mmm yyyy"))</f>
        <v/>
      </c>
      <c r="C531" s="62" t="n"/>
      <c r="D531" s="62" t="n"/>
      <c r="E531" s="62" t="n"/>
      <c r="F531" s="62" t="n"/>
      <c r="G531" s="63" t="n"/>
      <c r="H531" s="62" t="n"/>
      <c r="K531">
        <f>IF($C531="","",IF(COUNTIF($C$3:$C531,$C531)=1,$C531,""))</f>
        <v/>
      </c>
      <c r="L531">
        <f>IF($K531="","",$M531+ROW()/10000000)</f>
        <v/>
      </c>
      <c r="M531">
        <f>IF($K531="","",SUMIF($C$3:$C$1002,$K531,$G$3:$G$1002))</f>
        <v/>
      </c>
      <c r="N531">
        <f>IF($K531="","",COUNTIF($C$3:$C$1002,$K531))</f>
        <v/>
      </c>
      <c r="P531">
        <f>IF($A531="","",$A531*100000+ROW())</f>
        <v/>
      </c>
    </row>
    <row r="532" ht="18" customHeight="1">
      <c r="A532" s="60" t="n"/>
      <c r="B532" s="61">
        <f>IF(A532="","",TEXT(A532,"mmm yyyy"))</f>
        <v/>
      </c>
      <c r="C532" s="62" t="n"/>
      <c r="D532" s="62" t="n"/>
      <c r="E532" s="62" t="n"/>
      <c r="F532" s="62" t="n"/>
      <c r="G532" s="63" t="n"/>
      <c r="H532" s="62" t="n"/>
      <c r="K532">
        <f>IF($C532="","",IF(COUNTIF($C$3:$C532,$C532)=1,$C532,""))</f>
        <v/>
      </c>
      <c r="L532">
        <f>IF($K532="","",$M532+ROW()/10000000)</f>
        <v/>
      </c>
      <c r="M532">
        <f>IF($K532="","",SUMIF($C$3:$C$1002,$K532,$G$3:$G$1002))</f>
        <v/>
      </c>
      <c r="N532">
        <f>IF($K532="","",COUNTIF($C$3:$C$1002,$K532))</f>
        <v/>
      </c>
      <c r="P532">
        <f>IF($A532="","",$A532*100000+ROW())</f>
        <v/>
      </c>
    </row>
    <row r="533" ht="18" customHeight="1">
      <c r="A533" s="60" t="n"/>
      <c r="B533" s="61">
        <f>IF(A533="","",TEXT(A533,"mmm yyyy"))</f>
        <v/>
      </c>
      <c r="C533" s="62" t="n"/>
      <c r="D533" s="62" t="n"/>
      <c r="E533" s="62" t="n"/>
      <c r="F533" s="62" t="n"/>
      <c r="G533" s="63" t="n"/>
      <c r="H533" s="62" t="n"/>
      <c r="K533">
        <f>IF($C533="","",IF(COUNTIF($C$3:$C533,$C533)=1,$C533,""))</f>
        <v/>
      </c>
      <c r="L533">
        <f>IF($K533="","",$M533+ROW()/10000000)</f>
        <v/>
      </c>
      <c r="M533">
        <f>IF($K533="","",SUMIF($C$3:$C$1002,$K533,$G$3:$G$1002))</f>
        <v/>
      </c>
      <c r="N533">
        <f>IF($K533="","",COUNTIF($C$3:$C$1002,$K533))</f>
        <v/>
      </c>
      <c r="P533">
        <f>IF($A533="","",$A533*100000+ROW())</f>
        <v/>
      </c>
    </row>
    <row r="534" ht="18" customHeight="1">
      <c r="A534" s="60" t="n"/>
      <c r="B534" s="61">
        <f>IF(A534="","",TEXT(A534,"mmm yyyy"))</f>
        <v/>
      </c>
      <c r="C534" s="62" t="n"/>
      <c r="D534" s="62" t="n"/>
      <c r="E534" s="62" t="n"/>
      <c r="F534" s="62" t="n"/>
      <c r="G534" s="63" t="n"/>
      <c r="H534" s="62" t="n"/>
      <c r="K534">
        <f>IF($C534="","",IF(COUNTIF($C$3:$C534,$C534)=1,$C534,""))</f>
        <v/>
      </c>
      <c r="L534">
        <f>IF($K534="","",$M534+ROW()/10000000)</f>
        <v/>
      </c>
      <c r="M534">
        <f>IF($K534="","",SUMIF($C$3:$C$1002,$K534,$G$3:$G$1002))</f>
        <v/>
      </c>
      <c r="N534">
        <f>IF($K534="","",COUNTIF($C$3:$C$1002,$K534))</f>
        <v/>
      </c>
      <c r="P534">
        <f>IF($A534="","",$A534*100000+ROW())</f>
        <v/>
      </c>
    </row>
    <row r="535" ht="18" customHeight="1">
      <c r="A535" s="60" t="n"/>
      <c r="B535" s="61">
        <f>IF(A535="","",TEXT(A535,"mmm yyyy"))</f>
        <v/>
      </c>
      <c r="C535" s="62" t="n"/>
      <c r="D535" s="62" t="n"/>
      <c r="E535" s="62" t="n"/>
      <c r="F535" s="62" t="n"/>
      <c r="G535" s="63" t="n"/>
      <c r="H535" s="62" t="n"/>
      <c r="K535">
        <f>IF($C535="","",IF(COUNTIF($C$3:$C535,$C535)=1,$C535,""))</f>
        <v/>
      </c>
      <c r="L535">
        <f>IF($K535="","",$M535+ROW()/10000000)</f>
        <v/>
      </c>
      <c r="M535">
        <f>IF($K535="","",SUMIF($C$3:$C$1002,$K535,$G$3:$G$1002))</f>
        <v/>
      </c>
      <c r="N535">
        <f>IF($K535="","",COUNTIF($C$3:$C$1002,$K535))</f>
        <v/>
      </c>
      <c r="P535">
        <f>IF($A535="","",$A535*100000+ROW())</f>
        <v/>
      </c>
    </row>
    <row r="536" ht="18" customHeight="1">
      <c r="A536" s="60" t="n"/>
      <c r="B536" s="61">
        <f>IF(A536="","",TEXT(A536,"mmm yyyy"))</f>
        <v/>
      </c>
      <c r="C536" s="62" t="n"/>
      <c r="D536" s="62" t="n"/>
      <c r="E536" s="62" t="n"/>
      <c r="F536" s="62" t="n"/>
      <c r="G536" s="63" t="n"/>
      <c r="H536" s="62" t="n"/>
      <c r="K536">
        <f>IF($C536="","",IF(COUNTIF($C$3:$C536,$C536)=1,$C536,""))</f>
        <v/>
      </c>
      <c r="L536">
        <f>IF($K536="","",$M536+ROW()/10000000)</f>
        <v/>
      </c>
      <c r="M536">
        <f>IF($K536="","",SUMIF($C$3:$C$1002,$K536,$G$3:$G$1002))</f>
        <v/>
      </c>
      <c r="N536">
        <f>IF($K536="","",COUNTIF($C$3:$C$1002,$K536))</f>
        <v/>
      </c>
      <c r="P536">
        <f>IF($A536="","",$A536*100000+ROW())</f>
        <v/>
      </c>
    </row>
    <row r="537" ht="18" customHeight="1">
      <c r="A537" s="60" t="n"/>
      <c r="B537" s="61">
        <f>IF(A537="","",TEXT(A537,"mmm yyyy"))</f>
        <v/>
      </c>
      <c r="C537" s="62" t="n"/>
      <c r="D537" s="62" t="n"/>
      <c r="E537" s="62" t="n"/>
      <c r="F537" s="62" t="n"/>
      <c r="G537" s="63" t="n"/>
      <c r="H537" s="62" t="n"/>
      <c r="K537">
        <f>IF($C537="","",IF(COUNTIF($C$3:$C537,$C537)=1,$C537,""))</f>
        <v/>
      </c>
      <c r="L537">
        <f>IF($K537="","",$M537+ROW()/10000000)</f>
        <v/>
      </c>
      <c r="M537">
        <f>IF($K537="","",SUMIF($C$3:$C$1002,$K537,$G$3:$G$1002))</f>
        <v/>
      </c>
      <c r="N537">
        <f>IF($K537="","",COUNTIF($C$3:$C$1002,$K537))</f>
        <v/>
      </c>
      <c r="P537">
        <f>IF($A537="","",$A537*100000+ROW())</f>
        <v/>
      </c>
    </row>
    <row r="538" ht="18" customHeight="1">
      <c r="A538" s="60" t="n"/>
      <c r="B538" s="61">
        <f>IF(A538="","",TEXT(A538,"mmm yyyy"))</f>
        <v/>
      </c>
      <c r="C538" s="62" t="n"/>
      <c r="D538" s="62" t="n"/>
      <c r="E538" s="62" t="n"/>
      <c r="F538" s="62" t="n"/>
      <c r="G538" s="63" t="n"/>
      <c r="H538" s="62" t="n"/>
      <c r="K538">
        <f>IF($C538="","",IF(COUNTIF($C$3:$C538,$C538)=1,$C538,""))</f>
        <v/>
      </c>
      <c r="L538">
        <f>IF($K538="","",$M538+ROW()/10000000)</f>
        <v/>
      </c>
      <c r="M538">
        <f>IF($K538="","",SUMIF($C$3:$C$1002,$K538,$G$3:$G$1002))</f>
        <v/>
      </c>
      <c r="N538">
        <f>IF($K538="","",COUNTIF($C$3:$C$1002,$K538))</f>
        <v/>
      </c>
      <c r="P538">
        <f>IF($A538="","",$A538*100000+ROW())</f>
        <v/>
      </c>
    </row>
    <row r="539" ht="18" customHeight="1">
      <c r="A539" s="60" t="n"/>
      <c r="B539" s="61">
        <f>IF(A539="","",TEXT(A539,"mmm yyyy"))</f>
        <v/>
      </c>
      <c r="C539" s="62" t="n"/>
      <c r="D539" s="62" t="n"/>
      <c r="E539" s="62" t="n"/>
      <c r="F539" s="62" t="n"/>
      <c r="G539" s="63" t="n"/>
      <c r="H539" s="62" t="n"/>
      <c r="K539">
        <f>IF($C539="","",IF(COUNTIF($C$3:$C539,$C539)=1,$C539,""))</f>
        <v/>
      </c>
      <c r="L539">
        <f>IF($K539="","",$M539+ROW()/10000000)</f>
        <v/>
      </c>
      <c r="M539">
        <f>IF($K539="","",SUMIF($C$3:$C$1002,$K539,$G$3:$G$1002))</f>
        <v/>
      </c>
      <c r="N539">
        <f>IF($K539="","",COUNTIF($C$3:$C$1002,$K539))</f>
        <v/>
      </c>
      <c r="P539">
        <f>IF($A539="","",$A539*100000+ROW())</f>
        <v/>
      </c>
    </row>
    <row r="540" ht="18" customHeight="1">
      <c r="A540" s="60" t="n"/>
      <c r="B540" s="61">
        <f>IF(A540="","",TEXT(A540,"mmm yyyy"))</f>
        <v/>
      </c>
      <c r="C540" s="62" t="n"/>
      <c r="D540" s="62" t="n"/>
      <c r="E540" s="62" t="n"/>
      <c r="F540" s="62" t="n"/>
      <c r="G540" s="63" t="n"/>
      <c r="H540" s="62" t="n"/>
      <c r="K540">
        <f>IF($C540="","",IF(COUNTIF($C$3:$C540,$C540)=1,$C540,""))</f>
        <v/>
      </c>
      <c r="L540">
        <f>IF($K540="","",$M540+ROW()/10000000)</f>
        <v/>
      </c>
      <c r="M540">
        <f>IF($K540="","",SUMIF($C$3:$C$1002,$K540,$G$3:$G$1002))</f>
        <v/>
      </c>
      <c r="N540">
        <f>IF($K540="","",COUNTIF($C$3:$C$1002,$K540))</f>
        <v/>
      </c>
      <c r="P540">
        <f>IF($A540="","",$A540*100000+ROW())</f>
        <v/>
      </c>
    </row>
    <row r="541" ht="18" customHeight="1">
      <c r="A541" s="60" t="n"/>
      <c r="B541" s="61">
        <f>IF(A541="","",TEXT(A541,"mmm yyyy"))</f>
        <v/>
      </c>
      <c r="C541" s="62" t="n"/>
      <c r="D541" s="62" t="n"/>
      <c r="E541" s="62" t="n"/>
      <c r="F541" s="62" t="n"/>
      <c r="G541" s="63" t="n"/>
      <c r="H541" s="62" t="n"/>
      <c r="K541">
        <f>IF($C541="","",IF(COUNTIF($C$3:$C541,$C541)=1,$C541,""))</f>
        <v/>
      </c>
      <c r="L541">
        <f>IF($K541="","",$M541+ROW()/10000000)</f>
        <v/>
      </c>
      <c r="M541">
        <f>IF($K541="","",SUMIF($C$3:$C$1002,$K541,$G$3:$G$1002))</f>
        <v/>
      </c>
      <c r="N541">
        <f>IF($K541="","",COUNTIF($C$3:$C$1002,$K541))</f>
        <v/>
      </c>
      <c r="P541">
        <f>IF($A541="","",$A541*100000+ROW())</f>
        <v/>
      </c>
    </row>
    <row r="542" ht="18" customHeight="1">
      <c r="A542" s="60" t="n"/>
      <c r="B542" s="61">
        <f>IF(A542="","",TEXT(A542,"mmm yyyy"))</f>
        <v/>
      </c>
      <c r="C542" s="62" t="n"/>
      <c r="D542" s="62" t="n"/>
      <c r="E542" s="62" t="n"/>
      <c r="F542" s="62" t="n"/>
      <c r="G542" s="63" t="n"/>
      <c r="H542" s="62" t="n"/>
      <c r="K542">
        <f>IF($C542="","",IF(COUNTIF($C$3:$C542,$C542)=1,$C542,""))</f>
        <v/>
      </c>
      <c r="L542">
        <f>IF($K542="","",$M542+ROW()/10000000)</f>
        <v/>
      </c>
      <c r="M542">
        <f>IF($K542="","",SUMIF($C$3:$C$1002,$K542,$G$3:$G$1002))</f>
        <v/>
      </c>
      <c r="N542">
        <f>IF($K542="","",COUNTIF($C$3:$C$1002,$K542))</f>
        <v/>
      </c>
      <c r="P542">
        <f>IF($A542="","",$A542*100000+ROW())</f>
        <v/>
      </c>
    </row>
    <row r="543" ht="18" customHeight="1">
      <c r="A543" s="60" t="n"/>
      <c r="B543" s="61">
        <f>IF(A543="","",TEXT(A543,"mmm yyyy"))</f>
        <v/>
      </c>
      <c r="C543" s="62" t="n"/>
      <c r="D543" s="62" t="n"/>
      <c r="E543" s="62" t="n"/>
      <c r="F543" s="62" t="n"/>
      <c r="G543" s="63" t="n"/>
      <c r="H543" s="62" t="n"/>
      <c r="K543">
        <f>IF($C543="","",IF(COUNTIF($C$3:$C543,$C543)=1,$C543,""))</f>
        <v/>
      </c>
      <c r="L543">
        <f>IF($K543="","",$M543+ROW()/10000000)</f>
        <v/>
      </c>
      <c r="M543">
        <f>IF($K543="","",SUMIF($C$3:$C$1002,$K543,$G$3:$G$1002))</f>
        <v/>
      </c>
      <c r="N543">
        <f>IF($K543="","",COUNTIF($C$3:$C$1002,$K543))</f>
        <v/>
      </c>
      <c r="P543">
        <f>IF($A543="","",$A543*100000+ROW())</f>
        <v/>
      </c>
    </row>
    <row r="544" ht="18" customHeight="1">
      <c r="A544" s="60" t="n"/>
      <c r="B544" s="61">
        <f>IF(A544="","",TEXT(A544,"mmm yyyy"))</f>
        <v/>
      </c>
      <c r="C544" s="62" t="n"/>
      <c r="D544" s="62" t="n"/>
      <c r="E544" s="62" t="n"/>
      <c r="F544" s="62" t="n"/>
      <c r="G544" s="63" t="n"/>
      <c r="H544" s="62" t="n"/>
      <c r="K544">
        <f>IF($C544="","",IF(COUNTIF($C$3:$C544,$C544)=1,$C544,""))</f>
        <v/>
      </c>
      <c r="L544">
        <f>IF($K544="","",$M544+ROW()/10000000)</f>
        <v/>
      </c>
      <c r="M544">
        <f>IF($K544="","",SUMIF($C$3:$C$1002,$K544,$G$3:$G$1002))</f>
        <v/>
      </c>
      <c r="N544">
        <f>IF($K544="","",COUNTIF($C$3:$C$1002,$K544))</f>
        <v/>
      </c>
      <c r="P544">
        <f>IF($A544="","",$A544*100000+ROW())</f>
        <v/>
      </c>
    </row>
    <row r="545" ht="18" customHeight="1">
      <c r="A545" s="60" t="n"/>
      <c r="B545" s="61">
        <f>IF(A545="","",TEXT(A545,"mmm yyyy"))</f>
        <v/>
      </c>
      <c r="C545" s="62" t="n"/>
      <c r="D545" s="62" t="n"/>
      <c r="E545" s="62" t="n"/>
      <c r="F545" s="62" t="n"/>
      <c r="G545" s="63" t="n"/>
      <c r="H545" s="62" t="n"/>
      <c r="K545">
        <f>IF($C545="","",IF(COUNTIF($C$3:$C545,$C545)=1,$C545,""))</f>
        <v/>
      </c>
      <c r="L545">
        <f>IF($K545="","",$M545+ROW()/10000000)</f>
        <v/>
      </c>
      <c r="M545">
        <f>IF($K545="","",SUMIF($C$3:$C$1002,$K545,$G$3:$G$1002))</f>
        <v/>
      </c>
      <c r="N545">
        <f>IF($K545="","",COUNTIF($C$3:$C$1002,$K545))</f>
        <v/>
      </c>
      <c r="P545">
        <f>IF($A545="","",$A545*100000+ROW())</f>
        <v/>
      </c>
    </row>
    <row r="546" ht="18" customHeight="1">
      <c r="A546" s="60" t="n"/>
      <c r="B546" s="61">
        <f>IF(A546="","",TEXT(A546,"mmm yyyy"))</f>
        <v/>
      </c>
      <c r="C546" s="62" t="n"/>
      <c r="D546" s="62" t="n"/>
      <c r="E546" s="62" t="n"/>
      <c r="F546" s="62" t="n"/>
      <c r="G546" s="63" t="n"/>
      <c r="H546" s="62" t="n"/>
      <c r="K546">
        <f>IF($C546="","",IF(COUNTIF($C$3:$C546,$C546)=1,$C546,""))</f>
        <v/>
      </c>
      <c r="L546">
        <f>IF($K546="","",$M546+ROW()/10000000)</f>
        <v/>
      </c>
      <c r="M546">
        <f>IF($K546="","",SUMIF($C$3:$C$1002,$K546,$G$3:$G$1002))</f>
        <v/>
      </c>
      <c r="N546">
        <f>IF($K546="","",COUNTIF($C$3:$C$1002,$K546))</f>
        <v/>
      </c>
      <c r="P546">
        <f>IF($A546="","",$A546*100000+ROW())</f>
        <v/>
      </c>
    </row>
    <row r="547" ht="18" customHeight="1">
      <c r="A547" s="60" t="n"/>
      <c r="B547" s="61">
        <f>IF(A547="","",TEXT(A547,"mmm yyyy"))</f>
        <v/>
      </c>
      <c r="C547" s="62" t="n"/>
      <c r="D547" s="62" t="n"/>
      <c r="E547" s="62" t="n"/>
      <c r="F547" s="62" t="n"/>
      <c r="G547" s="63" t="n"/>
      <c r="H547" s="62" t="n"/>
      <c r="K547">
        <f>IF($C547="","",IF(COUNTIF($C$3:$C547,$C547)=1,$C547,""))</f>
        <v/>
      </c>
      <c r="L547">
        <f>IF($K547="","",$M547+ROW()/10000000)</f>
        <v/>
      </c>
      <c r="M547">
        <f>IF($K547="","",SUMIF($C$3:$C$1002,$K547,$G$3:$G$1002))</f>
        <v/>
      </c>
      <c r="N547">
        <f>IF($K547="","",COUNTIF($C$3:$C$1002,$K547))</f>
        <v/>
      </c>
      <c r="P547">
        <f>IF($A547="","",$A547*100000+ROW())</f>
        <v/>
      </c>
    </row>
    <row r="548" ht="18" customHeight="1">
      <c r="A548" s="60" t="n"/>
      <c r="B548" s="61">
        <f>IF(A548="","",TEXT(A548,"mmm yyyy"))</f>
        <v/>
      </c>
      <c r="C548" s="62" t="n"/>
      <c r="D548" s="62" t="n"/>
      <c r="E548" s="62" t="n"/>
      <c r="F548" s="62" t="n"/>
      <c r="G548" s="63" t="n"/>
      <c r="H548" s="62" t="n"/>
      <c r="K548">
        <f>IF($C548="","",IF(COUNTIF($C$3:$C548,$C548)=1,$C548,""))</f>
        <v/>
      </c>
      <c r="L548">
        <f>IF($K548="","",$M548+ROW()/10000000)</f>
        <v/>
      </c>
      <c r="M548">
        <f>IF($K548="","",SUMIF($C$3:$C$1002,$K548,$G$3:$G$1002))</f>
        <v/>
      </c>
      <c r="N548">
        <f>IF($K548="","",COUNTIF($C$3:$C$1002,$K548))</f>
        <v/>
      </c>
      <c r="P548">
        <f>IF($A548="","",$A548*100000+ROW())</f>
        <v/>
      </c>
    </row>
    <row r="549" ht="18" customHeight="1">
      <c r="A549" s="60" t="n"/>
      <c r="B549" s="61">
        <f>IF(A549="","",TEXT(A549,"mmm yyyy"))</f>
        <v/>
      </c>
      <c r="C549" s="62" t="n"/>
      <c r="D549" s="62" t="n"/>
      <c r="E549" s="62" t="n"/>
      <c r="F549" s="62" t="n"/>
      <c r="G549" s="63" t="n"/>
      <c r="H549" s="62" t="n"/>
      <c r="K549">
        <f>IF($C549="","",IF(COUNTIF($C$3:$C549,$C549)=1,$C549,""))</f>
        <v/>
      </c>
      <c r="L549">
        <f>IF($K549="","",$M549+ROW()/10000000)</f>
        <v/>
      </c>
      <c r="M549">
        <f>IF($K549="","",SUMIF($C$3:$C$1002,$K549,$G$3:$G$1002))</f>
        <v/>
      </c>
      <c r="N549">
        <f>IF($K549="","",COUNTIF($C$3:$C$1002,$K549))</f>
        <v/>
      </c>
      <c r="P549">
        <f>IF($A549="","",$A549*100000+ROW())</f>
        <v/>
      </c>
    </row>
    <row r="550" ht="18" customHeight="1">
      <c r="A550" s="60" t="n"/>
      <c r="B550" s="61">
        <f>IF(A550="","",TEXT(A550,"mmm yyyy"))</f>
        <v/>
      </c>
      <c r="C550" s="62" t="n"/>
      <c r="D550" s="62" t="n"/>
      <c r="E550" s="62" t="n"/>
      <c r="F550" s="62" t="n"/>
      <c r="G550" s="63" t="n"/>
      <c r="H550" s="62" t="n"/>
      <c r="K550">
        <f>IF($C550="","",IF(COUNTIF($C$3:$C550,$C550)=1,$C550,""))</f>
        <v/>
      </c>
      <c r="L550">
        <f>IF($K550="","",$M550+ROW()/10000000)</f>
        <v/>
      </c>
      <c r="M550">
        <f>IF($K550="","",SUMIF($C$3:$C$1002,$K550,$G$3:$G$1002))</f>
        <v/>
      </c>
      <c r="N550">
        <f>IF($K550="","",COUNTIF($C$3:$C$1002,$K550))</f>
        <v/>
      </c>
      <c r="P550">
        <f>IF($A550="","",$A550*100000+ROW())</f>
        <v/>
      </c>
    </row>
    <row r="551" ht="18" customHeight="1">
      <c r="A551" s="60" t="n"/>
      <c r="B551" s="61">
        <f>IF(A551="","",TEXT(A551,"mmm yyyy"))</f>
        <v/>
      </c>
      <c r="C551" s="62" t="n"/>
      <c r="D551" s="62" t="n"/>
      <c r="E551" s="62" t="n"/>
      <c r="F551" s="62" t="n"/>
      <c r="G551" s="63" t="n"/>
      <c r="H551" s="62" t="n"/>
      <c r="K551">
        <f>IF($C551="","",IF(COUNTIF($C$3:$C551,$C551)=1,$C551,""))</f>
        <v/>
      </c>
      <c r="L551">
        <f>IF($K551="","",$M551+ROW()/10000000)</f>
        <v/>
      </c>
      <c r="M551">
        <f>IF($K551="","",SUMIF($C$3:$C$1002,$K551,$G$3:$G$1002))</f>
        <v/>
      </c>
      <c r="N551">
        <f>IF($K551="","",COUNTIF($C$3:$C$1002,$K551))</f>
        <v/>
      </c>
      <c r="P551">
        <f>IF($A551="","",$A551*100000+ROW())</f>
        <v/>
      </c>
    </row>
    <row r="552" ht="18" customHeight="1">
      <c r="A552" s="60" t="n"/>
      <c r="B552" s="61">
        <f>IF(A552="","",TEXT(A552,"mmm yyyy"))</f>
        <v/>
      </c>
      <c r="C552" s="62" t="n"/>
      <c r="D552" s="62" t="n"/>
      <c r="E552" s="62" t="n"/>
      <c r="F552" s="62" t="n"/>
      <c r="G552" s="63" t="n"/>
      <c r="H552" s="62" t="n"/>
      <c r="K552">
        <f>IF($C552="","",IF(COUNTIF($C$3:$C552,$C552)=1,$C552,""))</f>
        <v/>
      </c>
      <c r="L552">
        <f>IF($K552="","",$M552+ROW()/10000000)</f>
        <v/>
      </c>
      <c r="M552">
        <f>IF($K552="","",SUMIF($C$3:$C$1002,$K552,$G$3:$G$1002))</f>
        <v/>
      </c>
      <c r="N552">
        <f>IF($K552="","",COUNTIF($C$3:$C$1002,$K552))</f>
        <v/>
      </c>
      <c r="P552">
        <f>IF($A552="","",$A552*100000+ROW())</f>
        <v/>
      </c>
    </row>
    <row r="553" ht="18" customHeight="1">
      <c r="A553" s="60" t="n"/>
      <c r="B553" s="61">
        <f>IF(A553="","",TEXT(A553,"mmm yyyy"))</f>
        <v/>
      </c>
      <c r="C553" s="62" t="n"/>
      <c r="D553" s="62" t="n"/>
      <c r="E553" s="62" t="n"/>
      <c r="F553" s="62" t="n"/>
      <c r="G553" s="63" t="n"/>
      <c r="H553" s="62" t="n"/>
      <c r="K553">
        <f>IF($C553="","",IF(COUNTIF($C$3:$C553,$C553)=1,$C553,""))</f>
        <v/>
      </c>
      <c r="L553">
        <f>IF($K553="","",$M553+ROW()/10000000)</f>
        <v/>
      </c>
      <c r="M553">
        <f>IF($K553="","",SUMIF($C$3:$C$1002,$K553,$G$3:$G$1002))</f>
        <v/>
      </c>
      <c r="N553">
        <f>IF($K553="","",COUNTIF($C$3:$C$1002,$K553))</f>
        <v/>
      </c>
      <c r="P553">
        <f>IF($A553="","",$A553*100000+ROW())</f>
        <v/>
      </c>
    </row>
    <row r="554" ht="18" customHeight="1">
      <c r="A554" s="60" t="n"/>
      <c r="B554" s="61">
        <f>IF(A554="","",TEXT(A554,"mmm yyyy"))</f>
        <v/>
      </c>
      <c r="C554" s="62" t="n"/>
      <c r="D554" s="62" t="n"/>
      <c r="E554" s="62" t="n"/>
      <c r="F554" s="62" t="n"/>
      <c r="G554" s="63" t="n"/>
      <c r="H554" s="62" t="n"/>
      <c r="K554">
        <f>IF($C554="","",IF(COUNTIF($C$3:$C554,$C554)=1,$C554,""))</f>
        <v/>
      </c>
      <c r="L554">
        <f>IF($K554="","",$M554+ROW()/10000000)</f>
        <v/>
      </c>
      <c r="M554">
        <f>IF($K554="","",SUMIF($C$3:$C$1002,$K554,$G$3:$G$1002))</f>
        <v/>
      </c>
      <c r="N554">
        <f>IF($K554="","",COUNTIF($C$3:$C$1002,$K554))</f>
        <v/>
      </c>
      <c r="P554">
        <f>IF($A554="","",$A554*100000+ROW())</f>
        <v/>
      </c>
    </row>
    <row r="555" ht="18" customHeight="1">
      <c r="A555" s="60" t="n"/>
      <c r="B555" s="61">
        <f>IF(A555="","",TEXT(A555,"mmm yyyy"))</f>
        <v/>
      </c>
      <c r="C555" s="62" t="n"/>
      <c r="D555" s="62" t="n"/>
      <c r="E555" s="62" t="n"/>
      <c r="F555" s="62" t="n"/>
      <c r="G555" s="63" t="n"/>
      <c r="H555" s="62" t="n"/>
      <c r="K555">
        <f>IF($C555="","",IF(COUNTIF($C$3:$C555,$C555)=1,$C555,""))</f>
        <v/>
      </c>
      <c r="L555">
        <f>IF($K555="","",$M555+ROW()/10000000)</f>
        <v/>
      </c>
      <c r="M555">
        <f>IF($K555="","",SUMIF($C$3:$C$1002,$K555,$G$3:$G$1002))</f>
        <v/>
      </c>
      <c r="N555">
        <f>IF($K555="","",COUNTIF($C$3:$C$1002,$K555))</f>
        <v/>
      </c>
      <c r="P555">
        <f>IF($A555="","",$A555*100000+ROW())</f>
        <v/>
      </c>
    </row>
    <row r="556" ht="18" customHeight="1">
      <c r="A556" s="60" t="n"/>
      <c r="B556" s="61">
        <f>IF(A556="","",TEXT(A556,"mmm yyyy"))</f>
        <v/>
      </c>
      <c r="C556" s="62" t="n"/>
      <c r="D556" s="62" t="n"/>
      <c r="E556" s="62" t="n"/>
      <c r="F556" s="62" t="n"/>
      <c r="G556" s="63" t="n"/>
      <c r="H556" s="62" t="n"/>
      <c r="K556">
        <f>IF($C556="","",IF(COUNTIF($C$3:$C556,$C556)=1,$C556,""))</f>
        <v/>
      </c>
      <c r="L556">
        <f>IF($K556="","",$M556+ROW()/10000000)</f>
        <v/>
      </c>
      <c r="M556">
        <f>IF($K556="","",SUMIF($C$3:$C$1002,$K556,$G$3:$G$1002))</f>
        <v/>
      </c>
      <c r="N556">
        <f>IF($K556="","",COUNTIF($C$3:$C$1002,$K556))</f>
        <v/>
      </c>
      <c r="P556">
        <f>IF($A556="","",$A556*100000+ROW())</f>
        <v/>
      </c>
    </row>
    <row r="557" ht="18" customHeight="1">
      <c r="A557" s="60" t="n"/>
      <c r="B557" s="61">
        <f>IF(A557="","",TEXT(A557,"mmm yyyy"))</f>
        <v/>
      </c>
      <c r="C557" s="62" t="n"/>
      <c r="D557" s="62" t="n"/>
      <c r="E557" s="62" t="n"/>
      <c r="F557" s="62" t="n"/>
      <c r="G557" s="63" t="n"/>
      <c r="H557" s="62" t="n"/>
      <c r="K557">
        <f>IF($C557="","",IF(COUNTIF($C$3:$C557,$C557)=1,$C557,""))</f>
        <v/>
      </c>
      <c r="L557">
        <f>IF($K557="","",$M557+ROW()/10000000)</f>
        <v/>
      </c>
      <c r="M557">
        <f>IF($K557="","",SUMIF($C$3:$C$1002,$K557,$G$3:$G$1002))</f>
        <v/>
      </c>
      <c r="N557">
        <f>IF($K557="","",COUNTIF($C$3:$C$1002,$K557))</f>
        <v/>
      </c>
      <c r="P557">
        <f>IF($A557="","",$A557*100000+ROW())</f>
        <v/>
      </c>
    </row>
    <row r="558" ht="18" customHeight="1">
      <c r="A558" s="60" t="n"/>
      <c r="B558" s="61">
        <f>IF(A558="","",TEXT(A558,"mmm yyyy"))</f>
        <v/>
      </c>
      <c r="C558" s="62" t="n"/>
      <c r="D558" s="62" t="n"/>
      <c r="E558" s="62" t="n"/>
      <c r="F558" s="62" t="n"/>
      <c r="G558" s="63" t="n"/>
      <c r="H558" s="62" t="n"/>
      <c r="K558">
        <f>IF($C558="","",IF(COUNTIF($C$3:$C558,$C558)=1,$C558,""))</f>
        <v/>
      </c>
      <c r="L558">
        <f>IF($K558="","",$M558+ROW()/10000000)</f>
        <v/>
      </c>
      <c r="M558">
        <f>IF($K558="","",SUMIF($C$3:$C$1002,$K558,$G$3:$G$1002))</f>
        <v/>
      </c>
      <c r="N558">
        <f>IF($K558="","",COUNTIF($C$3:$C$1002,$K558))</f>
        <v/>
      </c>
      <c r="P558">
        <f>IF($A558="","",$A558*100000+ROW())</f>
        <v/>
      </c>
    </row>
    <row r="559" ht="18" customHeight="1">
      <c r="A559" s="60" t="n"/>
      <c r="B559" s="61">
        <f>IF(A559="","",TEXT(A559,"mmm yyyy"))</f>
        <v/>
      </c>
      <c r="C559" s="62" t="n"/>
      <c r="D559" s="62" t="n"/>
      <c r="E559" s="62" t="n"/>
      <c r="F559" s="62" t="n"/>
      <c r="G559" s="63" t="n"/>
      <c r="H559" s="62" t="n"/>
      <c r="K559">
        <f>IF($C559="","",IF(COUNTIF($C$3:$C559,$C559)=1,$C559,""))</f>
        <v/>
      </c>
      <c r="L559">
        <f>IF($K559="","",$M559+ROW()/10000000)</f>
        <v/>
      </c>
      <c r="M559">
        <f>IF($K559="","",SUMIF($C$3:$C$1002,$K559,$G$3:$G$1002))</f>
        <v/>
      </c>
      <c r="N559">
        <f>IF($K559="","",COUNTIF($C$3:$C$1002,$K559))</f>
        <v/>
      </c>
      <c r="P559">
        <f>IF($A559="","",$A559*100000+ROW())</f>
        <v/>
      </c>
    </row>
    <row r="560" ht="18" customHeight="1">
      <c r="A560" s="60" t="n"/>
      <c r="B560" s="61">
        <f>IF(A560="","",TEXT(A560,"mmm yyyy"))</f>
        <v/>
      </c>
      <c r="C560" s="62" t="n"/>
      <c r="D560" s="62" t="n"/>
      <c r="E560" s="62" t="n"/>
      <c r="F560" s="62" t="n"/>
      <c r="G560" s="63" t="n"/>
      <c r="H560" s="62" t="n"/>
      <c r="K560">
        <f>IF($C560="","",IF(COUNTIF($C$3:$C560,$C560)=1,$C560,""))</f>
        <v/>
      </c>
      <c r="L560">
        <f>IF($K560="","",$M560+ROW()/10000000)</f>
        <v/>
      </c>
      <c r="M560">
        <f>IF($K560="","",SUMIF($C$3:$C$1002,$K560,$G$3:$G$1002))</f>
        <v/>
      </c>
      <c r="N560">
        <f>IF($K560="","",COUNTIF($C$3:$C$1002,$K560))</f>
        <v/>
      </c>
      <c r="P560">
        <f>IF($A560="","",$A560*100000+ROW())</f>
        <v/>
      </c>
    </row>
    <row r="561" ht="18" customHeight="1">
      <c r="A561" s="60" t="n"/>
      <c r="B561" s="61">
        <f>IF(A561="","",TEXT(A561,"mmm yyyy"))</f>
        <v/>
      </c>
      <c r="C561" s="62" t="n"/>
      <c r="D561" s="62" t="n"/>
      <c r="E561" s="62" t="n"/>
      <c r="F561" s="62" t="n"/>
      <c r="G561" s="63" t="n"/>
      <c r="H561" s="62" t="n"/>
      <c r="K561">
        <f>IF($C561="","",IF(COUNTIF($C$3:$C561,$C561)=1,$C561,""))</f>
        <v/>
      </c>
      <c r="L561">
        <f>IF($K561="","",$M561+ROW()/10000000)</f>
        <v/>
      </c>
      <c r="M561">
        <f>IF($K561="","",SUMIF($C$3:$C$1002,$K561,$G$3:$G$1002))</f>
        <v/>
      </c>
      <c r="N561">
        <f>IF($K561="","",COUNTIF($C$3:$C$1002,$K561))</f>
        <v/>
      </c>
      <c r="P561">
        <f>IF($A561="","",$A561*100000+ROW())</f>
        <v/>
      </c>
    </row>
    <row r="562" ht="18" customHeight="1">
      <c r="A562" s="60" t="n"/>
      <c r="B562" s="61">
        <f>IF(A562="","",TEXT(A562,"mmm yyyy"))</f>
        <v/>
      </c>
      <c r="C562" s="62" t="n"/>
      <c r="D562" s="62" t="n"/>
      <c r="E562" s="62" t="n"/>
      <c r="F562" s="62" t="n"/>
      <c r="G562" s="63" t="n"/>
      <c r="H562" s="62" t="n"/>
      <c r="K562">
        <f>IF($C562="","",IF(COUNTIF($C$3:$C562,$C562)=1,$C562,""))</f>
        <v/>
      </c>
      <c r="L562">
        <f>IF($K562="","",$M562+ROW()/10000000)</f>
        <v/>
      </c>
      <c r="M562">
        <f>IF($K562="","",SUMIF($C$3:$C$1002,$K562,$G$3:$G$1002))</f>
        <v/>
      </c>
      <c r="N562">
        <f>IF($K562="","",COUNTIF($C$3:$C$1002,$K562))</f>
        <v/>
      </c>
      <c r="P562">
        <f>IF($A562="","",$A562*100000+ROW())</f>
        <v/>
      </c>
    </row>
    <row r="563" ht="18" customHeight="1">
      <c r="A563" s="60" t="n"/>
      <c r="B563" s="61">
        <f>IF(A563="","",TEXT(A563,"mmm yyyy"))</f>
        <v/>
      </c>
      <c r="C563" s="62" t="n"/>
      <c r="D563" s="62" t="n"/>
      <c r="E563" s="62" t="n"/>
      <c r="F563" s="62" t="n"/>
      <c r="G563" s="63" t="n"/>
      <c r="H563" s="62" t="n"/>
      <c r="K563">
        <f>IF($C563="","",IF(COUNTIF($C$3:$C563,$C563)=1,$C563,""))</f>
        <v/>
      </c>
      <c r="L563">
        <f>IF($K563="","",$M563+ROW()/10000000)</f>
        <v/>
      </c>
      <c r="M563">
        <f>IF($K563="","",SUMIF($C$3:$C$1002,$K563,$G$3:$G$1002))</f>
        <v/>
      </c>
      <c r="N563">
        <f>IF($K563="","",COUNTIF($C$3:$C$1002,$K563))</f>
        <v/>
      </c>
      <c r="P563">
        <f>IF($A563="","",$A563*100000+ROW())</f>
        <v/>
      </c>
    </row>
    <row r="564" ht="18" customHeight="1">
      <c r="A564" s="60" t="n"/>
      <c r="B564" s="61">
        <f>IF(A564="","",TEXT(A564,"mmm yyyy"))</f>
        <v/>
      </c>
      <c r="C564" s="62" t="n"/>
      <c r="D564" s="62" t="n"/>
      <c r="E564" s="62" t="n"/>
      <c r="F564" s="62" t="n"/>
      <c r="G564" s="63" t="n"/>
      <c r="H564" s="62" t="n"/>
      <c r="K564">
        <f>IF($C564="","",IF(COUNTIF($C$3:$C564,$C564)=1,$C564,""))</f>
        <v/>
      </c>
      <c r="L564">
        <f>IF($K564="","",$M564+ROW()/10000000)</f>
        <v/>
      </c>
      <c r="M564">
        <f>IF($K564="","",SUMIF($C$3:$C$1002,$K564,$G$3:$G$1002))</f>
        <v/>
      </c>
      <c r="N564">
        <f>IF($K564="","",COUNTIF($C$3:$C$1002,$K564))</f>
        <v/>
      </c>
      <c r="P564">
        <f>IF($A564="","",$A564*100000+ROW())</f>
        <v/>
      </c>
    </row>
    <row r="565" ht="18" customHeight="1">
      <c r="A565" s="60" t="n"/>
      <c r="B565" s="61">
        <f>IF(A565="","",TEXT(A565,"mmm yyyy"))</f>
        <v/>
      </c>
      <c r="C565" s="62" t="n"/>
      <c r="D565" s="62" t="n"/>
      <c r="E565" s="62" t="n"/>
      <c r="F565" s="62" t="n"/>
      <c r="G565" s="63" t="n"/>
      <c r="H565" s="62" t="n"/>
      <c r="K565">
        <f>IF($C565="","",IF(COUNTIF($C$3:$C565,$C565)=1,$C565,""))</f>
        <v/>
      </c>
      <c r="L565">
        <f>IF($K565="","",$M565+ROW()/10000000)</f>
        <v/>
      </c>
      <c r="M565">
        <f>IF($K565="","",SUMIF($C$3:$C$1002,$K565,$G$3:$G$1002))</f>
        <v/>
      </c>
      <c r="N565">
        <f>IF($K565="","",COUNTIF($C$3:$C$1002,$K565))</f>
        <v/>
      </c>
      <c r="P565">
        <f>IF($A565="","",$A565*100000+ROW())</f>
        <v/>
      </c>
    </row>
    <row r="566" ht="18" customHeight="1">
      <c r="A566" s="60" t="n"/>
      <c r="B566" s="61">
        <f>IF(A566="","",TEXT(A566,"mmm yyyy"))</f>
        <v/>
      </c>
      <c r="C566" s="62" t="n"/>
      <c r="D566" s="62" t="n"/>
      <c r="E566" s="62" t="n"/>
      <c r="F566" s="62" t="n"/>
      <c r="G566" s="63" t="n"/>
      <c r="H566" s="62" t="n"/>
      <c r="K566">
        <f>IF($C566="","",IF(COUNTIF($C$3:$C566,$C566)=1,$C566,""))</f>
        <v/>
      </c>
      <c r="L566">
        <f>IF($K566="","",$M566+ROW()/10000000)</f>
        <v/>
      </c>
      <c r="M566">
        <f>IF($K566="","",SUMIF($C$3:$C$1002,$K566,$G$3:$G$1002))</f>
        <v/>
      </c>
      <c r="N566">
        <f>IF($K566="","",COUNTIF($C$3:$C$1002,$K566))</f>
        <v/>
      </c>
      <c r="P566">
        <f>IF($A566="","",$A566*100000+ROW())</f>
        <v/>
      </c>
    </row>
    <row r="567" ht="18" customHeight="1">
      <c r="A567" s="60" t="n"/>
      <c r="B567" s="61">
        <f>IF(A567="","",TEXT(A567,"mmm yyyy"))</f>
        <v/>
      </c>
      <c r="C567" s="62" t="n"/>
      <c r="D567" s="62" t="n"/>
      <c r="E567" s="62" t="n"/>
      <c r="F567" s="62" t="n"/>
      <c r="G567" s="63" t="n"/>
      <c r="H567" s="62" t="n"/>
      <c r="K567">
        <f>IF($C567="","",IF(COUNTIF($C$3:$C567,$C567)=1,$C567,""))</f>
        <v/>
      </c>
      <c r="L567">
        <f>IF($K567="","",$M567+ROW()/10000000)</f>
        <v/>
      </c>
      <c r="M567">
        <f>IF($K567="","",SUMIF($C$3:$C$1002,$K567,$G$3:$G$1002))</f>
        <v/>
      </c>
      <c r="N567">
        <f>IF($K567="","",COUNTIF($C$3:$C$1002,$K567))</f>
        <v/>
      </c>
      <c r="P567">
        <f>IF($A567="","",$A567*100000+ROW())</f>
        <v/>
      </c>
    </row>
    <row r="568" ht="18" customHeight="1">
      <c r="A568" s="60" t="n"/>
      <c r="B568" s="61">
        <f>IF(A568="","",TEXT(A568,"mmm yyyy"))</f>
        <v/>
      </c>
      <c r="C568" s="62" t="n"/>
      <c r="D568" s="62" t="n"/>
      <c r="E568" s="62" t="n"/>
      <c r="F568" s="62" t="n"/>
      <c r="G568" s="63" t="n"/>
      <c r="H568" s="62" t="n"/>
      <c r="K568">
        <f>IF($C568="","",IF(COUNTIF($C$3:$C568,$C568)=1,$C568,""))</f>
        <v/>
      </c>
      <c r="L568">
        <f>IF($K568="","",$M568+ROW()/10000000)</f>
        <v/>
      </c>
      <c r="M568">
        <f>IF($K568="","",SUMIF($C$3:$C$1002,$K568,$G$3:$G$1002))</f>
        <v/>
      </c>
      <c r="N568">
        <f>IF($K568="","",COUNTIF($C$3:$C$1002,$K568))</f>
        <v/>
      </c>
      <c r="P568">
        <f>IF($A568="","",$A568*100000+ROW())</f>
        <v/>
      </c>
    </row>
    <row r="569" ht="18" customHeight="1">
      <c r="A569" s="60" t="n"/>
      <c r="B569" s="61">
        <f>IF(A569="","",TEXT(A569,"mmm yyyy"))</f>
        <v/>
      </c>
      <c r="C569" s="62" t="n"/>
      <c r="D569" s="62" t="n"/>
      <c r="E569" s="62" t="n"/>
      <c r="F569" s="62" t="n"/>
      <c r="G569" s="63" t="n"/>
      <c r="H569" s="62" t="n"/>
      <c r="K569">
        <f>IF($C569="","",IF(COUNTIF($C$3:$C569,$C569)=1,$C569,""))</f>
        <v/>
      </c>
      <c r="L569">
        <f>IF($K569="","",$M569+ROW()/10000000)</f>
        <v/>
      </c>
      <c r="M569">
        <f>IF($K569="","",SUMIF($C$3:$C$1002,$K569,$G$3:$G$1002))</f>
        <v/>
      </c>
      <c r="N569">
        <f>IF($K569="","",COUNTIF($C$3:$C$1002,$K569))</f>
        <v/>
      </c>
      <c r="P569">
        <f>IF($A569="","",$A569*100000+ROW())</f>
        <v/>
      </c>
    </row>
    <row r="570" ht="18" customHeight="1">
      <c r="A570" s="60" t="n"/>
      <c r="B570" s="61">
        <f>IF(A570="","",TEXT(A570,"mmm yyyy"))</f>
        <v/>
      </c>
      <c r="C570" s="62" t="n"/>
      <c r="D570" s="62" t="n"/>
      <c r="E570" s="62" t="n"/>
      <c r="F570" s="62" t="n"/>
      <c r="G570" s="63" t="n"/>
      <c r="H570" s="62" t="n"/>
      <c r="K570">
        <f>IF($C570="","",IF(COUNTIF($C$3:$C570,$C570)=1,$C570,""))</f>
        <v/>
      </c>
      <c r="L570">
        <f>IF($K570="","",$M570+ROW()/10000000)</f>
        <v/>
      </c>
      <c r="M570">
        <f>IF($K570="","",SUMIF($C$3:$C$1002,$K570,$G$3:$G$1002))</f>
        <v/>
      </c>
      <c r="N570">
        <f>IF($K570="","",COUNTIF($C$3:$C$1002,$K570))</f>
        <v/>
      </c>
      <c r="P570">
        <f>IF($A570="","",$A570*100000+ROW())</f>
        <v/>
      </c>
    </row>
    <row r="571" ht="18" customHeight="1">
      <c r="A571" s="60" t="n"/>
      <c r="B571" s="61">
        <f>IF(A571="","",TEXT(A571,"mmm yyyy"))</f>
        <v/>
      </c>
      <c r="C571" s="62" t="n"/>
      <c r="D571" s="62" t="n"/>
      <c r="E571" s="62" t="n"/>
      <c r="F571" s="62" t="n"/>
      <c r="G571" s="63" t="n"/>
      <c r="H571" s="62" t="n"/>
      <c r="K571">
        <f>IF($C571="","",IF(COUNTIF($C$3:$C571,$C571)=1,$C571,""))</f>
        <v/>
      </c>
      <c r="L571">
        <f>IF($K571="","",$M571+ROW()/10000000)</f>
        <v/>
      </c>
      <c r="M571">
        <f>IF($K571="","",SUMIF($C$3:$C$1002,$K571,$G$3:$G$1002))</f>
        <v/>
      </c>
      <c r="N571">
        <f>IF($K571="","",COUNTIF($C$3:$C$1002,$K571))</f>
        <v/>
      </c>
      <c r="P571">
        <f>IF($A571="","",$A571*100000+ROW())</f>
        <v/>
      </c>
    </row>
    <row r="572" ht="18" customHeight="1">
      <c r="A572" s="60" t="n"/>
      <c r="B572" s="61">
        <f>IF(A572="","",TEXT(A572,"mmm yyyy"))</f>
        <v/>
      </c>
      <c r="C572" s="62" t="n"/>
      <c r="D572" s="62" t="n"/>
      <c r="E572" s="62" t="n"/>
      <c r="F572" s="62" t="n"/>
      <c r="G572" s="63" t="n"/>
      <c r="H572" s="62" t="n"/>
      <c r="K572">
        <f>IF($C572="","",IF(COUNTIF($C$3:$C572,$C572)=1,$C572,""))</f>
        <v/>
      </c>
      <c r="L572">
        <f>IF($K572="","",$M572+ROW()/10000000)</f>
        <v/>
      </c>
      <c r="M572">
        <f>IF($K572="","",SUMIF($C$3:$C$1002,$K572,$G$3:$G$1002))</f>
        <v/>
      </c>
      <c r="N572">
        <f>IF($K572="","",COUNTIF($C$3:$C$1002,$K572))</f>
        <v/>
      </c>
      <c r="P572">
        <f>IF($A572="","",$A572*100000+ROW())</f>
        <v/>
      </c>
    </row>
    <row r="573" ht="18" customHeight="1">
      <c r="A573" s="60" t="n"/>
      <c r="B573" s="61">
        <f>IF(A573="","",TEXT(A573,"mmm yyyy"))</f>
        <v/>
      </c>
      <c r="C573" s="62" t="n"/>
      <c r="D573" s="62" t="n"/>
      <c r="E573" s="62" t="n"/>
      <c r="F573" s="62" t="n"/>
      <c r="G573" s="63" t="n"/>
      <c r="H573" s="62" t="n"/>
      <c r="K573">
        <f>IF($C573="","",IF(COUNTIF($C$3:$C573,$C573)=1,$C573,""))</f>
        <v/>
      </c>
      <c r="L573">
        <f>IF($K573="","",$M573+ROW()/10000000)</f>
        <v/>
      </c>
      <c r="M573">
        <f>IF($K573="","",SUMIF($C$3:$C$1002,$K573,$G$3:$G$1002))</f>
        <v/>
      </c>
      <c r="N573">
        <f>IF($K573="","",COUNTIF($C$3:$C$1002,$K573))</f>
        <v/>
      </c>
      <c r="P573">
        <f>IF($A573="","",$A573*100000+ROW())</f>
        <v/>
      </c>
    </row>
    <row r="574" ht="18" customHeight="1">
      <c r="A574" s="60" t="n"/>
      <c r="B574" s="61">
        <f>IF(A574="","",TEXT(A574,"mmm yyyy"))</f>
        <v/>
      </c>
      <c r="C574" s="62" t="n"/>
      <c r="D574" s="62" t="n"/>
      <c r="E574" s="62" t="n"/>
      <c r="F574" s="62" t="n"/>
      <c r="G574" s="63" t="n"/>
      <c r="H574" s="62" t="n"/>
      <c r="K574">
        <f>IF($C574="","",IF(COUNTIF($C$3:$C574,$C574)=1,$C574,""))</f>
        <v/>
      </c>
      <c r="L574">
        <f>IF($K574="","",$M574+ROW()/10000000)</f>
        <v/>
      </c>
      <c r="M574">
        <f>IF($K574="","",SUMIF($C$3:$C$1002,$K574,$G$3:$G$1002))</f>
        <v/>
      </c>
      <c r="N574">
        <f>IF($K574="","",COUNTIF($C$3:$C$1002,$K574))</f>
        <v/>
      </c>
      <c r="P574">
        <f>IF($A574="","",$A574*100000+ROW())</f>
        <v/>
      </c>
    </row>
    <row r="575" ht="18" customHeight="1">
      <c r="A575" s="60" t="n"/>
      <c r="B575" s="61">
        <f>IF(A575="","",TEXT(A575,"mmm yyyy"))</f>
        <v/>
      </c>
      <c r="C575" s="62" t="n"/>
      <c r="D575" s="62" t="n"/>
      <c r="E575" s="62" t="n"/>
      <c r="F575" s="62" t="n"/>
      <c r="G575" s="63" t="n"/>
      <c r="H575" s="62" t="n"/>
      <c r="K575">
        <f>IF($C575="","",IF(COUNTIF($C$3:$C575,$C575)=1,$C575,""))</f>
        <v/>
      </c>
      <c r="L575">
        <f>IF($K575="","",$M575+ROW()/10000000)</f>
        <v/>
      </c>
      <c r="M575">
        <f>IF($K575="","",SUMIF($C$3:$C$1002,$K575,$G$3:$G$1002))</f>
        <v/>
      </c>
      <c r="N575">
        <f>IF($K575="","",COUNTIF($C$3:$C$1002,$K575))</f>
        <v/>
      </c>
      <c r="P575">
        <f>IF($A575="","",$A575*100000+ROW())</f>
        <v/>
      </c>
    </row>
    <row r="576" ht="18" customHeight="1">
      <c r="A576" s="60" t="n"/>
      <c r="B576" s="61">
        <f>IF(A576="","",TEXT(A576,"mmm yyyy"))</f>
        <v/>
      </c>
      <c r="C576" s="62" t="n"/>
      <c r="D576" s="62" t="n"/>
      <c r="E576" s="62" t="n"/>
      <c r="F576" s="62" t="n"/>
      <c r="G576" s="63" t="n"/>
      <c r="H576" s="62" t="n"/>
      <c r="K576">
        <f>IF($C576="","",IF(COUNTIF($C$3:$C576,$C576)=1,$C576,""))</f>
        <v/>
      </c>
      <c r="L576">
        <f>IF($K576="","",$M576+ROW()/10000000)</f>
        <v/>
      </c>
      <c r="M576">
        <f>IF($K576="","",SUMIF($C$3:$C$1002,$K576,$G$3:$G$1002))</f>
        <v/>
      </c>
      <c r="N576">
        <f>IF($K576="","",COUNTIF($C$3:$C$1002,$K576))</f>
        <v/>
      </c>
      <c r="P576">
        <f>IF($A576="","",$A576*100000+ROW())</f>
        <v/>
      </c>
    </row>
    <row r="577" ht="18" customHeight="1">
      <c r="A577" s="60" t="n"/>
      <c r="B577" s="61">
        <f>IF(A577="","",TEXT(A577,"mmm yyyy"))</f>
        <v/>
      </c>
      <c r="C577" s="62" t="n"/>
      <c r="D577" s="62" t="n"/>
      <c r="E577" s="62" t="n"/>
      <c r="F577" s="62" t="n"/>
      <c r="G577" s="63" t="n"/>
      <c r="H577" s="62" t="n"/>
      <c r="K577">
        <f>IF($C577="","",IF(COUNTIF($C$3:$C577,$C577)=1,$C577,""))</f>
        <v/>
      </c>
      <c r="L577">
        <f>IF($K577="","",$M577+ROW()/10000000)</f>
        <v/>
      </c>
      <c r="M577">
        <f>IF($K577="","",SUMIF($C$3:$C$1002,$K577,$G$3:$G$1002))</f>
        <v/>
      </c>
      <c r="N577">
        <f>IF($K577="","",COUNTIF($C$3:$C$1002,$K577))</f>
        <v/>
      </c>
      <c r="P577">
        <f>IF($A577="","",$A577*100000+ROW())</f>
        <v/>
      </c>
    </row>
    <row r="578" ht="18" customHeight="1">
      <c r="A578" s="60" t="n"/>
      <c r="B578" s="61">
        <f>IF(A578="","",TEXT(A578,"mmm yyyy"))</f>
        <v/>
      </c>
      <c r="C578" s="62" t="n"/>
      <c r="D578" s="62" t="n"/>
      <c r="E578" s="62" t="n"/>
      <c r="F578" s="62" t="n"/>
      <c r="G578" s="63" t="n"/>
      <c r="H578" s="62" t="n"/>
      <c r="K578">
        <f>IF($C578="","",IF(COUNTIF($C$3:$C578,$C578)=1,$C578,""))</f>
        <v/>
      </c>
      <c r="L578">
        <f>IF($K578="","",$M578+ROW()/10000000)</f>
        <v/>
      </c>
      <c r="M578">
        <f>IF($K578="","",SUMIF($C$3:$C$1002,$K578,$G$3:$G$1002))</f>
        <v/>
      </c>
      <c r="N578">
        <f>IF($K578="","",COUNTIF($C$3:$C$1002,$K578))</f>
        <v/>
      </c>
      <c r="P578">
        <f>IF($A578="","",$A578*100000+ROW())</f>
        <v/>
      </c>
    </row>
    <row r="579" ht="18" customHeight="1">
      <c r="A579" s="60" t="n"/>
      <c r="B579" s="61">
        <f>IF(A579="","",TEXT(A579,"mmm yyyy"))</f>
        <v/>
      </c>
      <c r="C579" s="62" t="n"/>
      <c r="D579" s="62" t="n"/>
      <c r="E579" s="62" t="n"/>
      <c r="F579" s="62" t="n"/>
      <c r="G579" s="63" t="n"/>
      <c r="H579" s="62" t="n"/>
      <c r="K579">
        <f>IF($C579="","",IF(COUNTIF($C$3:$C579,$C579)=1,$C579,""))</f>
        <v/>
      </c>
      <c r="L579">
        <f>IF($K579="","",$M579+ROW()/10000000)</f>
        <v/>
      </c>
      <c r="M579">
        <f>IF($K579="","",SUMIF($C$3:$C$1002,$K579,$G$3:$G$1002))</f>
        <v/>
      </c>
      <c r="N579">
        <f>IF($K579="","",COUNTIF($C$3:$C$1002,$K579))</f>
        <v/>
      </c>
      <c r="P579">
        <f>IF($A579="","",$A579*100000+ROW())</f>
        <v/>
      </c>
    </row>
    <row r="580" ht="18" customHeight="1">
      <c r="A580" s="60" t="n"/>
      <c r="B580" s="61">
        <f>IF(A580="","",TEXT(A580,"mmm yyyy"))</f>
        <v/>
      </c>
      <c r="C580" s="62" t="n"/>
      <c r="D580" s="62" t="n"/>
      <c r="E580" s="62" t="n"/>
      <c r="F580" s="62" t="n"/>
      <c r="G580" s="63" t="n"/>
      <c r="H580" s="62" t="n"/>
      <c r="K580">
        <f>IF($C580="","",IF(COUNTIF($C$3:$C580,$C580)=1,$C580,""))</f>
        <v/>
      </c>
      <c r="L580">
        <f>IF($K580="","",$M580+ROW()/10000000)</f>
        <v/>
      </c>
      <c r="M580">
        <f>IF($K580="","",SUMIF($C$3:$C$1002,$K580,$G$3:$G$1002))</f>
        <v/>
      </c>
      <c r="N580">
        <f>IF($K580="","",COUNTIF($C$3:$C$1002,$K580))</f>
        <v/>
      </c>
      <c r="P580">
        <f>IF($A580="","",$A580*100000+ROW())</f>
        <v/>
      </c>
    </row>
    <row r="581" ht="18" customHeight="1">
      <c r="A581" s="60" t="n"/>
      <c r="B581" s="61">
        <f>IF(A581="","",TEXT(A581,"mmm yyyy"))</f>
        <v/>
      </c>
      <c r="C581" s="62" t="n"/>
      <c r="D581" s="62" t="n"/>
      <c r="E581" s="62" t="n"/>
      <c r="F581" s="62" t="n"/>
      <c r="G581" s="63" t="n"/>
      <c r="H581" s="62" t="n"/>
      <c r="K581">
        <f>IF($C581="","",IF(COUNTIF($C$3:$C581,$C581)=1,$C581,""))</f>
        <v/>
      </c>
      <c r="L581">
        <f>IF($K581="","",$M581+ROW()/10000000)</f>
        <v/>
      </c>
      <c r="M581">
        <f>IF($K581="","",SUMIF($C$3:$C$1002,$K581,$G$3:$G$1002))</f>
        <v/>
      </c>
      <c r="N581">
        <f>IF($K581="","",COUNTIF($C$3:$C$1002,$K581))</f>
        <v/>
      </c>
      <c r="P581">
        <f>IF($A581="","",$A581*100000+ROW())</f>
        <v/>
      </c>
    </row>
    <row r="582" ht="18" customHeight="1">
      <c r="A582" s="60" t="n"/>
      <c r="B582" s="61">
        <f>IF(A582="","",TEXT(A582,"mmm yyyy"))</f>
        <v/>
      </c>
      <c r="C582" s="62" t="n"/>
      <c r="D582" s="62" t="n"/>
      <c r="E582" s="62" t="n"/>
      <c r="F582" s="62" t="n"/>
      <c r="G582" s="63" t="n"/>
      <c r="H582" s="62" t="n"/>
      <c r="K582">
        <f>IF($C582="","",IF(COUNTIF($C$3:$C582,$C582)=1,$C582,""))</f>
        <v/>
      </c>
      <c r="L582">
        <f>IF($K582="","",$M582+ROW()/10000000)</f>
        <v/>
      </c>
      <c r="M582">
        <f>IF($K582="","",SUMIF($C$3:$C$1002,$K582,$G$3:$G$1002))</f>
        <v/>
      </c>
      <c r="N582">
        <f>IF($K582="","",COUNTIF($C$3:$C$1002,$K582))</f>
        <v/>
      </c>
      <c r="P582">
        <f>IF($A582="","",$A582*100000+ROW())</f>
        <v/>
      </c>
    </row>
    <row r="583" ht="18" customHeight="1">
      <c r="A583" s="60" t="n"/>
      <c r="B583" s="61">
        <f>IF(A583="","",TEXT(A583,"mmm yyyy"))</f>
        <v/>
      </c>
      <c r="C583" s="62" t="n"/>
      <c r="D583" s="62" t="n"/>
      <c r="E583" s="62" t="n"/>
      <c r="F583" s="62" t="n"/>
      <c r="G583" s="63" t="n"/>
      <c r="H583" s="62" t="n"/>
      <c r="K583">
        <f>IF($C583="","",IF(COUNTIF($C$3:$C583,$C583)=1,$C583,""))</f>
        <v/>
      </c>
      <c r="L583">
        <f>IF($K583="","",$M583+ROW()/10000000)</f>
        <v/>
      </c>
      <c r="M583">
        <f>IF($K583="","",SUMIF($C$3:$C$1002,$K583,$G$3:$G$1002))</f>
        <v/>
      </c>
      <c r="N583">
        <f>IF($K583="","",COUNTIF($C$3:$C$1002,$K583))</f>
        <v/>
      </c>
      <c r="P583">
        <f>IF($A583="","",$A583*100000+ROW())</f>
        <v/>
      </c>
    </row>
    <row r="584" ht="18" customHeight="1">
      <c r="A584" s="60" t="n"/>
      <c r="B584" s="61">
        <f>IF(A584="","",TEXT(A584,"mmm yyyy"))</f>
        <v/>
      </c>
      <c r="C584" s="62" t="n"/>
      <c r="D584" s="62" t="n"/>
      <c r="E584" s="62" t="n"/>
      <c r="F584" s="62" t="n"/>
      <c r="G584" s="63" t="n"/>
      <c r="H584" s="62" t="n"/>
      <c r="K584">
        <f>IF($C584="","",IF(COUNTIF($C$3:$C584,$C584)=1,$C584,""))</f>
        <v/>
      </c>
      <c r="L584">
        <f>IF($K584="","",$M584+ROW()/10000000)</f>
        <v/>
      </c>
      <c r="M584">
        <f>IF($K584="","",SUMIF($C$3:$C$1002,$K584,$G$3:$G$1002))</f>
        <v/>
      </c>
      <c r="N584">
        <f>IF($K584="","",COUNTIF($C$3:$C$1002,$K584))</f>
        <v/>
      </c>
      <c r="P584">
        <f>IF($A584="","",$A584*100000+ROW())</f>
        <v/>
      </c>
    </row>
    <row r="585" ht="18" customHeight="1">
      <c r="A585" s="60" t="n"/>
      <c r="B585" s="61">
        <f>IF(A585="","",TEXT(A585,"mmm yyyy"))</f>
        <v/>
      </c>
      <c r="C585" s="62" t="n"/>
      <c r="D585" s="62" t="n"/>
      <c r="E585" s="62" t="n"/>
      <c r="F585" s="62" t="n"/>
      <c r="G585" s="63" t="n"/>
      <c r="H585" s="62" t="n"/>
      <c r="K585">
        <f>IF($C585="","",IF(COUNTIF($C$3:$C585,$C585)=1,$C585,""))</f>
        <v/>
      </c>
      <c r="L585">
        <f>IF($K585="","",$M585+ROW()/10000000)</f>
        <v/>
      </c>
      <c r="M585">
        <f>IF($K585="","",SUMIF($C$3:$C$1002,$K585,$G$3:$G$1002))</f>
        <v/>
      </c>
      <c r="N585">
        <f>IF($K585="","",COUNTIF($C$3:$C$1002,$K585))</f>
        <v/>
      </c>
      <c r="P585">
        <f>IF($A585="","",$A585*100000+ROW())</f>
        <v/>
      </c>
    </row>
    <row r="586" ht="18" customHeight="1">
      <c r="A586" s="60" t="n"/>
      <c r="B586" s="61">
        <f>IF(A586="","",TEXT(A586,"mmm yyyy"))</f>
        <v/>
      </c>
      <c r="C586" s="62" t="n"/>
      <c r="D586" s="62" t="n"/>
      <c r="E586" s="62" t="n"/>
      <c r="F586" s="62" t="n"/>
      <c r="G586" s="63" t="n"/>
      <c r="H586" s="62" t="n"/>
      <c r="K586">
        <f>IF($C586="","",IF(COUNTIF($C$3:$C586,$C586)=1,$C586,""))</f>
        <v/>
      </c>
      <c r="L586">
        <f>IF($K586="","",$M586+ROW()/10000000)</f>
        <v/>
      </c>
      <c r="M586">
        <f>IF($K586="","",SUMIF($C$3:$C$1002,$K586,$G$3:$G$1002))</f>
        <v/>
      </c>
      <c r="N586">
        <f>IF($K586="","",COUNTIF($C$3:$C$1002,$K586))</f>
        <v/>
      </c>
      <c r="P586">
        <f>IF($A586="","",$A586*100000+ROW())</f>
        <v/>
      </c>
    </row>
    <row r="587" ht="18" customHeight="1">
      <c r="A587" s="60" t="n"/>
      <c r="B587" s="61">
        <f>IF(A587="","",TEXT(A587,"mmm yyyy"))</f>
        <v/>
      </c>
      <c r="C587" s="62" t="n"/>
      <c r="D587" s="62" t="n"/>
      <c r="E587" s="62" t="n"/>
      <c r="F587" s="62" t="n"/>
      <c r="G587" s="63" t="n"/>
      <c r="H587" s="62" t="n"/>
      <c r="K587">
        <f>IF($C587="","",IF(COUNTIF($C$3:$C587,$C587)=1,$C587,""))</f>
        <v/>
      </c>
      <c r="L587">
        <f>IF($K587="","",$M587+ROW()/10000000)</f>
        <v/>
      </c>
      <c r="M587">
        <f>IF($K587="","",SUMIF($C$3:$C$1002,$K587,$G$3:$G$1002))</f>
        <v/>
      </c>
      <c r="N587">
        <f>IF($K587="","",COUNTIF($C$3:$C$1002,$K587))</f>
        <v/>
      </c>
      <c r="P587">
        <f>IF($A587="","",$A587*100000+ROW())</f>
        <v/>
      </c>
    </row>
    <row r="588" ht="18" customHeight="1">
      <c r="A588" s="60" t="n"/>
      <c r="B588" s="61">
        <f>IF(A588="","",TEXT(A588,"mmm yyyy"))</f>
        <v/>
      </c>
      <c r="C588" s="62" t="n"/>
      <c r="D588" s="62" t="n"/>
      <c r="E588" s="62" t="n"/>
      <c r="F588" s="62" t="n"/>
      <c r="G588" s="63" t="n"/>
      <c r="H588" s="62" t="n"/>
      <c r="K588">
        <f>IF($C588="","",IF(COUNTIF($C$3:$C588,$C588)=1,$C588,""))</f>
        <v/>
      </c>
      <c r="L588">
        <f>IF($K588="","",$M588+ROW()/10000000)</f>
        <v/>
      </c>
      <c r="M588">
        <f>IF($K588="","",SUMIF($C$3:$C$1002,$K588,$G$3:$G$1002))</f>
        <v/>
      </c>
      <c r="N588">
        <f>IF($K588="","",COUNTIF($C$3:$C$1002,$K588))</f>
        <v/>
      </c>
      <c r="P588">
        <f>IF($A588="","",$A588*100000+ROW())</f>
        <v/>
      </c>
    </row>
    <row r="589" ht="18" customHeight="1">
      <c r="A589" s="60" t="n"/>
      <c r="B589" s="61">
        <f>IF(A589="","",TEXT(A589,"mmm yyyy"))</f>
        <v/>
      </c>
      <c r="C589" s="62" t="n"/>
      <c r="D589" s="62" t="n"/>
      <c r="E589" s="62" t="n"/>
      <c r="F589" s="62" t="n"/>
      <c r="G589" s="63" t="n"/>
      <c r="H589" s="62" t="n"/>
      <c r="K589">
        <f>IF($C589="","",IF(COUNTIF($C$3:$C589,$C589)=1,$C589,""))</f>
        <v/>
      </c>
      <c r="L589">
        <f>IF($K589="","",$M589+ROW()/10000000)</f>
        <v/>
      </c>
      <c r="M589">
        <f>IF($K589="","",SUMIF($C$3:$C$1002,$K589,$G$3:$G$1002))</f>
        <v/>
      </c>
      <c r="N589">
        <f>IF($K589="","",COUNTIF($C$3:$C$1002,$K589))</f>
        <v/>
      </c>
      <c r="P589">
        <f>IF($A589="","",$A589*100000+ROW())</f>
        <v/>
      </c>
    </row>
    <row r="590" ht="18" customHeight="1">
      <c r="A590" s="60" t="n"/>
      <c r="B590" s="61">
        <f>IF(A590="","",TEXT(A590,"mmm yyyy"))</f>
        <v/>
      </c>
      <c r="C590" s="62" t="n"/>
      <c r="D590" s="62" t="n"/>
      <c r="E590" s="62" t="n"/>
      <c r="F590" s="62" t="n"/>
      <c r="G590" s="63" t="n"/>
      <c r="H590" s="62" t="n"/>
      <c r="K590">
        <f>IF($C590="","",IF(COUNTIF($C$3:$C590,$C590)=1,$C590,""))</f>
        <v/>
      </c>
      <c r="L590">
        <f>IF($K590="","",$M590+ROW()/10000000)</f>
        <v/>
      </c>
      <c r="M590">
        <f>IF($K590="","",SUMIF($C$3:$C$1002,$K590,$G$3:$G$1002))</f>
        <v/>
      </c>
      <c r="N590">
        <f>IF($K590="","",COUNTIF($C$3:$C$1002,$K590))</f>
        <v/>
      </c>
      <c r="P590">
        <f>IF($A590="","",$A590*100000+ROW())</f>
        <v/>
      </c>
    </row>
    <row r="591" ht="18" customHeight="1">
      <c r="A591" s="60" t="n"/>
      <c r="B591" s="61">
        <f>IF(A591="","",TEXT(A591,"mmm yyyy"))</f>
        <v/>
      </c>
      <c r="C591" s="62" t="n"/>
      <c r="D591" s="62" t="n"/>
      <c r="E591" s="62" t="n"/>
      <c r="F591" s="62" t="n"/>
      <c r="G591" s="63" t="n"/>
      <c r="H591" s="62" t="n"/>
      <c r="K591">
        <f>IF($C591="","",IF(COUNTIF($C$3:$C591,$C591)=1,$C591,""))</f>
        <v/>
      </c>
      <c r="L591">
        <f>IF($K591="","",$M591+ROW()/10000000)</f>
        <v/>
      </c>
      <c r="M591">
        <f>IF($K591="","",SUMIF($C$3:$C$1002,$K591,$G$3:$G$1002))</f>
        <v/>
      </c>
      <c r="N591">
        <f>IF($K591="","",COUNTIF($C$3:$C$1002,$K591))</f>
        <v/>
      </c>
      <c r="P591">
        <f>IF($A591="","",$A591*100000+ROW())</f>
        <v/>
      </c>
    </row>
    <row r="592" ht="18" customHeight="1">
      <c r="A592" s="60" t="n"/>
      <c r="B592" s="61">
        <f>IF(A592="","",TEXT(A592,"mmm yyyy"))</f>
        <v/>
      </c>
      <c r="C592" s="62" t="n"/>
      <c r="D592" s="62" t="n"/>
      <c r="E592" s="62" t="n"/>
      <c r="F592" s="62" t="n"/>
      <c r="G592" s="63" t="n"/>
      <c r="H592" s="62" t="n"/>
      <c r="K592">
        <f>IF($C592="","",IF(COUNTIF($C$3:$C592,$C592)=1,$C592,""))</f>
        <v/>
      </c>
      <c r="L592">
        <f>IF($K592="","",$M592+ROW()/10000000)</f>
        <v/>
      </c>
      <c r="M592">
        <f>IF($K592="","",SUMIF($C$3:$C$1002,$K592,$G$3:$G$1002))</f>
        <v/>
      </c>
      <c r="N592">
        <f>IF($K592="","",COUNTIF($C$3:$C$1002,$K592))</f>
        <v/>
      </c>
      <c r="P592">
        <f>IF($A592="","",$A592*100000+ROW())</f>
        <v/>
      </c>
    </row>
    <row r="593" ht="18" customHeight="1">
      <c r="A593" s="60" t="n"/>
      <c r="B593" s="61">
        <f>IF(A593="","",TEXT(A593,"mmm yyyy"))</f>
        <v/>
      </c>
      <c r="C593" s="62" t="n"/>
      <c r="D593" s="62" t="n"/>
      <c r="E593" s="62" t="n"/>
      <c r="F593" s="62" t="n"/>
      <c r="G593" s="63" t="n"/>
      <c r="H593" s="62" t="n"/>
      <c r="K593">
        <f>IF($C593="","",IF(COUNTIF($C$3:$C593,$C593)=1,$C593,""))</f>
        <v/>
      </c>
      <c r="L593">
        <f>IF($K593="","",$M593+ROW()/10000000)</f>
        <v/>
      </c>
      <c r="M593">
        <f>IF($K593="","",SUMIF($C$3:$C$1002,$K593,$G$3:$G$1002))</f>
        <v/>
      </c>
      <c r="N593">
        <f>IF($K593="","",COUNTIF($C$3:$C$1002,$K593))</f>
        <v/>
      </c>
      <c r="P593">
        <f>IF($A593="","",$A593*100000+ROW())</f>
        <v/>
      </c>
    </row>
    <row r="594" ht="18" customHeight="1">
      <c r="A594" s="60" t="n"/>
      <c r="B594" s="61">
        <f>IF(A594="","",TEXT(A594,"mmm yyyy"))</f>
        <v/>
      </c>
      <c r="C594" s="62" t="n"/>
      <c r="D594" s="62" t="n"/>
      <c r="E594" s="62" t="n"/>
      <c r="F594" s="62" t="n"/>
      <c r="G594" s="63" t="n"/>
      <c r="H594" s="62" t="n"/>
      <c r="K594">
        <f>IF($C594="","",IF(COUNTIF($C$3:$C594,$C594)=1,$C594,""))</f>
        <v/>
      </c>
      <c r="L594">
        <f>IF($K594="","",$M594+ROW()/10000000)</f>
        <v/>
      </c>
      <c r="M594">
        <f>IF($K594="","",SUMIF($C$3:$C$1002,$K594,$G$3:$G$1002))</f>
        <v/>
      </c>
      <c r="N594">
        <f>IF($K594="","",COUNTIF($C$3:$C$1002,$K594))</f>
        <v/>
      </c>
      <c r="P594">
        <f>IF($A594="","",$A594*100000+ROW())</f>
        <v/>
      </c>
    </row>
    <row r="595" ht="18" customHeight="1">
      <c r="A595" s="60" t="n"/>
      <c r="B595" s="61">
        <f>IF(A595="","",TEXT(A595,"mmm yyyy"))</f>
        <v/>
      </c>
      <c r="C595" s="62" t="n"/>
      <c r="D595" s="62" t="n"/>
      <c r="E595" s="62" t="n"/>
      <c r="F595" s="62" t="n"/>
      <c r="G595" s="63" t="n"/>
      <c r="H595" s="62" t="n"/>
      <c r="K595">
        <f>IF($C595="","",IF(COUNTIF($C$3:$C595,$C595)=1,$C595,""))</f>
        <v/>
      </c>
      <c r="L595">
        <f>IF($K595="","",$M595+ROW()/10000000)</f>
        <v/>
      </c>
      <c r="M595">
        <f>IF($K595="","",SUMIF($C$3:$C$1002,$K595,$G$3:$G$1002))</f>
        <v/>
      </c>
      <c r="N595">
        <f>IF($K595="","",COUNTIF($C$3:$C$1002,$K595))</f>
        <v/>
      </c>
      <c r="P595">
        <f>IF($A595="","",$A595*100000+ROW())</f>
        <v/>
      </c>
    </row>
    <row r="596" ht="18" customHeight="1">
      <c r="A596" s="60" t="n"/>
      <c r="B596" s="61">
        <f>IF(A596="","",TEXT(A596,"mmm yyyy"))</f>
        <v/>
      </c>
      <c r="C596" s="62" t="n"/>
      <c r="D596" s="62" t="n"/>
      <c r="E596" s="62" t="n"/>
      <c r="F596" s="62" t="n"/>
      <c r="G596" s="63" t="n"/>
      <c r="H596" s="62" t="n"/>
      <c r="K596">
        <f>IF($C596="","",IF(COUNTIF($C$3:$C596,$C596)=1,$C596,""))</f>
        <v/>
      </c>
      <c r="L596">
        <f>IF($K596="","",$M596+ROW()/10000000)</f>
        <v/>
      </c>
      <c r="M596">
        <f>IF($K596="","",SUMIF($C$3:$C$1002,$K596,$G$3:$G$1002))</f>
        <v/>
      </c>
      <c r="N596">
        <f>IF($K596="","",COUNTIF($C$3:$C$1002,$K596))</f>
        <v/>
      </c>
      <c r="P596">
        <f>IF($A596="","",$A596*100000+ROW())</f>
        <v/>
      </c>
    </row>
    <row r="597" ht="18" customHeight="1">
      <c r="A597" s="60" t="n"/>
      <c r="B597" s="61">
        <f>IF(A597="","",TEXT(A597,"mmm yyyy"))</f>
        <v/>
      </c>
      <c r="C597" s="62" t="n"/>
      <c r="D597" s="62" t="n"/>
      <c r="E597" s="62" t="n"/>
      <c r="F597" s="62" t="n"/>
      <c r="G597" s="63" t="n"/>
      <c r="H597" s="62" t="n"/>
      <c r="K597">
        <f>IF($C597="","",IF(COUNTIF($C$3:$C597,$C597)=1,$C597,""))</f>
        <v/>
      </c>
      <c r="L597">
        <f>IF($K597="","",$M597+ROW()/10000000)</f>
        <v/>
      </c>
      <c r="M597">
        <f>IF($K597="","",SUMIF($C$3:$C$1002,$K597,$G$3:$G$1002))</f>
        <v/>
      </c>
      <c r="N597">
        <f>IF($K597="","",COUNTIF($C$3:$C$1002,$K597))</f>
        <v/>
      </c>
      <c r="P597">
        <f>IF($A597="","",$A597*100000+ROW())</f>
        <v/>
      </c>
    </row>
    <row r="598" ht="18" customHeight="1">
      <c r="A598" s="60" t="n"/>
      <c r="B598" s="61">
        <f>IF(A598="","",TEXT(A598,"mmm yyyy"))</f>
        <v/>
      </c>
      <c r="C598" s="62" t="n"/>
      <c r="D598" s="62" t="n"/>
      <c r="E598" s="62" t="n"/>
      <c r="F598" s="62" t="n"/>
      <c r="G598" s="63" t="n"/>
      <c r="H598" s="62" t="n"/>
      <c r="K598">
        <f>IF($C598="","",IF(COUNTIF($C$3:$C598,$C598)=1,$C598,""))</f>
        <v/>
      </c>
      <c r="L598">
        <f>IF($K598="","",$M598+ROW()/10000000)</f>
        <v/>
      </c>
      <c r="M598">
        <f>IF($K598="","",SUMIF($C$3:$C$1002,$K598,$G$3:$G$1002))</f>
        <v/>
      </c>
      <c r="N598">
        <f>IF($K598="","",COUNTIF($C$3:$C$1002,$K598))</f>
        <v/>
      </c>
      <c r="P598">
        <f>IF($A598="","",$A598*100000+ROW())</f>
        <v/>
      </c>
    </row>
    <row r="599" ht="18" customHeight="1">
      <c r="A599" s="60" t="n"/>
      <c r="B599" s="61">
        <f>IF(A599="","",TEXT(A599,"mmm yyyy"))</f>
        <v/>
      </c>
      <c r="C599" s="62" t="n"/>
      <c r="D599" s="62" t="n"/>
      <c r="E599" s="62" t="n"/>
      <c r="F599" s="62" t="n"/>
      <c r="G599" s="63" t="n"/>
      <c r="H599" s="62" t="n"/>
      <c r="K599">
        <f>IF($C599="","",IF(COUNTIF($C$3:$C599,$C599)=1,$C599,""))</f>
        <v/>
      </c>
      <c r="L599">
        <f>IF($K599="","",$M599+ROW()/10000000)</f>
        <v/>
      </c>
      <c r="M599">
        <f>IF($K599="","",SUMIF($C$3:$C$1002,$K599,$G$3:$G$1002))</f>
        <v/>
      </c>
      <c r="N599">
        <f>IF($K599="","",COUNTIF($C$3:$C$1002,$K599))</f>
        <v/>
      </c>
      <c r="P599">
        <f>IF($A599="","",$A599*100000+ROW())</f>
        <v/>
      </c>
    </row>
    <row r="600" ht="18" customHeight="1">
      <c r="A600" s="60" t="n"/>
      <c r="B600" s="61">
        <f>IF(A600="","",TEXT(A600,"mmm yyyy"))</f>
        <v/>
      </c>
      <c r="C600" s="62" t="n"/>
      <c r="D600" s="62" t="n"/>
      <c r="E600" s="62" t="n"/>
      <c r="F600" s="62" t="n"/>
      <c r="G600" s="63" t="n"/>
      <c r="H600" s="62" t="n"/>
      <c r="K600">
        <f>IF($C600="","",IF(COUNTIF($C$3:$C600,$C600)=1,$C600,""))</f>
        <v/>
      </c>
      <c r="L600">
        <f>IF($K600="","",$M600+ROW()/10000000)</f>
        <v/>
      </c>
      <c r="M600">
        <f>IF($K600="","",SUMIF($C$3:$C$1002,$K600,$G$3:$G$1002))</f>
        <v/>
      </c>
      <c r="N600">
        <f>IF($K600="","",COUNTIF($C$3:$C$1002,$K600))</f>
        <v/>
      </c>
      <c r="P600">
        <f>IF($A600="","",$A600*100000+ROW())</f>
        <v/>
      </c>
    </row>
    <row r="601" ht="18" customHeight="1">
      <c r="A601" s="60" t="n"/>
      <c r="B601" s="61">
        <f>IF(A601="","",TEXT(A601,"mmm yyyy"))</f>
        <v/>
      </c>
      <c r="C601" s="62" t="n"/>
      <c r="D601" s="62" t="n"/>
      <c r="E601" s="62" t="n"/>
      <c r="F601" s="62" t="n"/>
      <c r="G601" s="63" t="n"/>
      <c r="H601" s="62" t="n"/>
      <c r="K601">
        <f>IF($C601="","",IF(COUNTIF($C$3:$C601,$C601)=1,$C601,""))</f>
        <v/>
      </c>
      <c r="L601">
        <f>IF($K601="","",$M601+ROW()/10000000)</f>
        <v/>
      </c>
      <c r="M601">
        <f>IF($K601="","",SUMIF($C$3:$C$1002,$K601,$G$3:$G$1002))</f>
        <v/>
      </c>
      <c r="N601">
        <f>IF($K601="","",COUNTIF($C$3:$C$1002,$K601))</f>
        <v/>
      </c>
      <c r="P601">
        <f>IF($A601="","",$A601*100000+ROW())</f>
        <v/>
      </c>
    </row>
    <row r="602" ht="18" customHeight="1">
      <c r="A602" s="60" t="n"/>
      <c r="B602" s="61">
        <f>IF(A602="","",TEXT(A602,"mmm yyyy"))</f>
        <v/>
      </c>
      <c r="C602" s="62" t="n"/>
      <c r="D602" s="62" t="n"/>
      <c r="E602" s="62" t="n"/>
      <c r="F602" s="62" t="n"/>
      <c r="G602" s="63" t="n"/>
      <c r="H602" s="62" t="n"/>
      <c r="K602">
        <f>IF($C602="","",IF(COUNTIF($C$3:$C602,$C602)=1,$C602,""))</f>
        <v/>
      </c>
      <c r="L602">
        <f>IF($K602="","",$M602+ROW()/10000000)</f>
        <v/>
      </c>
      <c r="M602">
        <f>IF($K602="","",SUMIF($C$3:$C$1002,$K602,$G$3:$G$1002))</f>
        <v/>
      </c>
      <c r="N602">
        <f>IF($K602="","",COUNTIF($C$3:$C$1002,$K602))</f>
        <v/>
      </c>
      <c r="P602">
        <f>IF($A602="","",$A602*100000+ROW())</f>
        <v/>
      </c>
    </row>
    <row r="603" ht="18" customHeight="1">
      <c r="A603" s="60" t="n"/>
      <c r="B603" s="61">
        <f>IF(A603="","",TEXT(A603,"mmm yyyy"))</f>
        <v/>
      </c>
      <c r="C603" s="62" t="n"/>
      <c r="D603" s="62" t="n"/>
      <c r="E603" s="62" t="n"/>
      <c r="F603" s="62" t="n"/>
      <c r="G603" s="63" t="n"/>
      <c r="H603" s="62" t="n"/>
      <c r="K603">
        <f>IF($C603="","",IF(COUNTIF($C$3:$C603,$C603)=1,$C603,""))</f>
        <v/>
      </c>
      <c r="L603">
        <f>IF($K603="","",$M603+ROW()/10000000)</f>
        <v/>
      </c>
      <c r="M603">
        <f>IF($K603="","",SUMIF($C$3:$C$1002,$K603,$G$3:$G$1002))</f>
        <v/>
      </c>
      <c r="N603">
        <f>IF($K603="","",COUNTIF($C$3:$C$1002,$K603))</f>
        <v/>
      </c>
      <c r="P603">
        <f>IF($A603="","",$A603*100000+ROW())</f>
        <v/>
      </c>
    </row>
    <row r="604" ht="18" customHeight="1">
      <c r="A604" s="60" t="n"/>
      <c r="B604" s="61">
        <f>IF(A604="","",TEXT(A604,"mmm yyyy"))</f>
        <v/>
      </c>
      <c r="C604" s="62" t="n"/>
      <c r="D604" s="62" t="n"/>
      <c r="E604" s="62" t="n"/>
      <c r="F604" s="62" t="n"/>
      <c r="G604" s="63" t="n"/>
      <c r="H604" s="62" t="n"/>
      <c r="K604">
        <f>IF($C604="","",IF(COUNTIF($C$3:$C604,$C604)=1,$C604,""))</f>
        <v/>
      </c>
      <c r="L604">
        <f>IF($K604="","",$M604+ROW()/10000000)</f>
        <v/>
      </c>
      <c r="M604">
        <f>IF($K604="","",SUMIF($C$3:$C$1002,$K604,$G$3:$G$1002))</f>
        <v/>
      </c>
      <c r="N604">
        <f>IF($K604="","",COUNTIF($C$3:$C$1002,$K604))</f>
        <v/>
      </c>
      <c r="P604">
        <f>IF($A604="","",$A604*100000+ROW())</f>
        <v/>
      </c>
    </row>
    <row r="605" ht="18" customHeight="1">
      <c r="A605" s="60" t="n"/>
      <c r="B605" s="61">
        <f>IF(A605="","",TEXT(A605,"mmm yyyy"))</f>
        <v/>
      </c>
      <c r="C605" s="62" t="n"/>
      <c r="D605" s="62" t="n"/>
      <c r="E605" s="62" t="n"/>
      <c r="F605" s="62" t="n"/>
      <c r="G605" s="63" t="n"/>
      <c r="H605" s="62" t="n"/>
      <c r="K605">
        <f>IF($C605="","",IF(COUNTIF($C$3:$C605,$C605)=1,$C605,""))</f>
        <v/>
      </c>
      <c r="L605">
        <f>IF($K605="","",$M605+ROW()/10000000)</f>
        <v/>
      </c>
      <c r="M605">
        <f>IF($K605="","",SUMIF($C$3:$C$1002,$K605,$G$3:$G$1002))</f>
        <v/>
      </c>
      <c r="N605">
        <f>IF($K605="","",COUNTIF($C$3:$C$1002,$K605))</f>
        <v/>
      </c>
      <c r="P605">
        <f>IF($A605="","",$A605*100000+ROW())</f>
        <v/>
      </c>
    </row>
    <row r="606" ht="18" customHeight="1">
      <c r="A606" s="60" t="n"/>
      <c r="B606" s="61">
        <f>IF(A606="","",TEXT(A606,"mmm yyyy"))</f>
        <v/>
      </c>
      <c r="C606" s="62" t="n"/>
      <c r="D606" s="62" t="n"/>
      <c r="E606" s="62" t="n"/>
      <c r="F606" s="62" t="n"/>
      <c r="G606" s="63" t="n"/>
      <c r="H606" s="62" t="n"/>
      <c r="K606">
        <f>IF($C606="","",IF(COUNTIF($C$3:$C606,$C606)=1,$C606,""))</f>
        <v/>
      </c>
      <c r="L606">
        <f>IF($K606="","",$M606+ROW()/10000000)</f>
        <v/>
      </c>
      <c r="M606">
        <f>IF($K606="","",SUMIF($C$3:$C$1002,$K606,$G$3:$G$1002))</f>
        <v/>
      </c>
      <c r="N606">
        <f>IF($K606="","",COUNTIF($C$3:$C$1002,$K606))</f>
        <v/>
      </c>
      <c r="P606">
        <f>IF($A606="","",$A606*100000+ROW())</f>
        <v/>
      </c>
    </row>
    <row r="607" ht="18" customHeight="1">
      <c r="A607" s="60" t="n"/>
      <c r="B607" s="61">
        <f>IF(A607="","",TEXT(A607,"mmm yyyy"))</f>
        <v/>
      </c>
      <c r="C607" s="62" t="n"/>
      <c r="D607" s="62" t="n"/>
      <c r="E607" s="62" t="n"/>
      <c r="F607" s="62" t="n"/>
      <c r="G607" s="63" t="n"/>
      <c r="H607" s="62" t="n"/>
      <c r="K607">
        <f>IF($C607="","",IF(COUNTIF($C$3:$C607,$C607)=1,$C607,""))</f>
        <v/>
      </c>
      <c r="L607">
        <f>IF($K607="","",$M607+ROW()/10000000)</f>
        <v/>
      </c>
      <c r="M607">
        <f>IF($K607="","",SUMIF($C$3:$C$1002,$K607,$G$3:$G$1002))</f>
        <v/>
      </c>
      <c r="N607">
        <f>IF($K607="","",COUNTIF($C$3:$C$1002,$K607))</f>
        <v/>
      </c>
      <c r="P607">
        <f>IF($A607="","",$A607*100000+ROW())</f>
        <v/>
      </c>
    </row>
    <row r="608" ht="18" customHeight="1">
      <c r="A608" s="60" t="n"/>
      <c r="B608" s="61">
        <f>IF(A608="","",TEXT(A608,"mmm yyyy"))</f>
        <v/>
      </c>
      <c r="C608" s="62" t="n"/>
      <c r="D608" s="62" t="n"/>
      <c r="E608" s="62" t="n"/>
      <c r="F608" s="62" t="n"/>
      <c r="G608" s="63" t="n"/>
      <c r="H608" s="62" t="n"/>
      <c r="K608">
        <f>IF($C608="","",IF(COUNTIF($C$3:$C608,$C608)=1,$C608,""))</f>
        <v/>
      </c>
      <c r="L608">
        <f>IF($K608="","",$M608+ROW()/10000000)</f>
        <v/>
      </c>
      <c r="M608">
        <f>IF($K608="","",SUMIF($C$3:$C$1002,$K608,$G$3:$G$1002))</f>
        <v/>
      </c>
      <c r="N608">
        <f>IF($K608="","",COUNTIF($C$3:$C$1002,$K608))</f>
        <v/>
      </c>
      <c r="P608">
        <f>IF($A608="","",$A608*100000+ROW())</f>
        <v/>
      </c>
    </row>
    <row r="609" ht="18" customHeight="1">
      <c r="A609" s="60" t="n"/>
      <c r="B609" s="61">
        <f>IF(A609="","",TEXT(A609,"mmm yyyy"))</f>
        <v/>
      </c>
      <c r="C609" s="62" t="n"/>
      <c r="D609" s="62" t="n"/>
      <c r="E609" s="62" t="n"/>
      <c r="F609" s="62" t="n"/>
      <c r="G609" s="63" t="n"/>
      <c r="H609" s="62" t="n"/>
      <c r="K609">
        <f>IF($C609="","",IF(COUNTIF($C$3:$C609,$C609)=1,$C609,""))</f>
        <v/>
      </c>
      <c r="L609">
        <f>IF($K609="","",$M609+ROW()/10000000)</f>
        <v/>
      </c>
      <c r="M609">
        <f>IF($K609="","",SUMIF($C$3:$C$1002,$K609,$G$3:$G$1002))</f>
        <v/>
      </c>
      <c r="N609">
        <f>IF($K609="","",COUNTIF($C$3:$C$1002,$K609))</f>
        <v/>
      </c>
      <c r="P609">
        <f>IF($A609="","",$A609*100000+ROW())</f>
        <v/>
      </c>
    </row>
    <row r="610" ht="18" customHeight="1">
      <c r="A610" s="60" t="n"/>
      <c r="B610" s="61">
        <f>IF(A610="","",TEXT(A610,"mmm yyyy"))</f>
        <v/>
      </c>
      <c r="C610" s="62" t="n"/>
      <c r="D610" s="62" t="n"/>
      <c r="E610" s="62" t="n"/>
      <c r="F610" s="62" t="n"/>
      <c r="G610" s="63" t="n"/>
      <c r="H610" s="62" t="n"/>
      <c r="K610">
        <f>IF($C610="","",IF(COUNTIF($C$3:$C610,$C610)=1,$C610,""))</f>
        <v/>
      </c>
      <c r="L610">
        <f>IF($K610="","",$M610+ROW()/10000000)</f>
        <v/>
      </c>
      <c r="M610">
        <f>IF($K610="","",SUMIF($C$3:$C$1002,$K610,$G$3:$G$1002))</f>
        <v/>
      </c>
      <c r="N610">
        <f>IF($K610="","",COUNTIF($C$3:$C$1002,$K610))</f>
        <v/>
      </c>
      <c r="P610">
        <f>IF($A610="","",$A610*100000+ROW())</f>
        <v/>
      </c>
    </row>
    <row r="611" ht="18" customHeight="1">
      <c r="A611" s="60" t="n"/>
      <c r="B611" s="61">
        <f>IF(A611="","",TEXT(A611,"mmm yyyy"))</f>
        <v/>
      </c>
      <c r="C611" s="62" t="n"/>
      <c r="D611" s="62" t="n"/>
      <c r="E611" s="62" t="n"/>
      <c r="F611" s="62" t="n"/>
      <c r="G611" s="63" t="n"/>
      <c r="H611" s="62" t="n"/>
      <c r="K611">
        <f>IF($C611="","",IF(COUNTIF($C$3:$C611,$C611)=1,$C611,""))</f>
        <v/>
      </c>
      <c r="L611">
        <f>IF($K611="","",$M611+ROW()/10000000)</f>
        <v/>
      </c>
      <c r="M611">
        <f>IF($K611="","",SUMIF($C$3:$C$1002,$K611,$G$3:$G$1002))</f>
        <v/>
      </c>
      <c r="N611">
        <f>IF($K611="","",COUNTIF($C$3:$C$1002,$K611))</f>
        <v/>
      </c>
      <c r="P611">
        <f>IF($A611="","",$A611*100000+ROW())</f>
        <v/>
      </c>
    </row>
    <row r="612" ht="18" customHeight="1">
      <c r="A612" s="60" t="n"/>
      <c r="B612" s="61">
        <f>IF(A612="","",TEXT(A612,"mmm yyyy"))</f>
        <v/>
      </c>
      <c r="C612" s="62" t="n"/>
      <c r="D612" s="62" t="n"/>
      <c r="E612" s="62" t="n"/>
      <c r="F612" s="62" t="n"/>
      <c r="G612" s="63" t="n"/>
      <c r="H612" s="62" t="n"/>
      <c r="K612">
        <f>IF($C612="","",IF(COUNTIF($C$3:$C612,$C612)=1,$C612,""))</f>
        <v/>
      </c>
      <c r="L612">
        <f>IF($K612="","",$M612+ROW()/10000000)</f>
        <v/>
      </c>
      <c r="M612">
        <f>IF($K612="","",SUMIF($C$3:$C$1002,$K612,$G$3:$G$1002))</f>
        <v/>
      </c>
      <c r="N612">
        <f>IF($K612="","",COUNTIF($C$3:$C$1002,$K612))</f>
        <v/>
      </c>
      <c r="P612">
        <f>IF($A612="","",$A612*100000+ROW())</f>
        <v/>
      </c>
    </row>
    <row r="613" ht="18" customHeight="1">
      <c r="A613" s="60" t="n"/>
      <c r="B613" s="61">
        <f>IF(A613="","",TEXT(A613,"mmm yyyy"))</f>
        <v/>
      </c>
      <c r="C613" s="62" t="n"/>
      <c r="D613" s="62" t="n"/>
      <c r="E613" s="62" t="n"/>
      <c r="F613" s="62" t="n"/>
      <c r="G613" s="63" t="n"/>
      <c r="H613" s="62" t="n"/>
      <c r="K613">
        <f>IF($C613="","",IF(COUNTIF($C$3:$C613,$C613)=1,$C613,""))</f>
        <v/>
      </c>
      <c r="L613">
        <f>IF($K613="","",$M613+ROW()/10000000)</f>
        <v/>
      </c>
      <c r="M613">
        <f>IF($K613="","",SUMIF($C$3:$C$1002,$K613,$G$3:$G$1002))</f>
        <v/>
      </c>
      <c r="N613">
        <f>IF($K613="","",COUNTIF($C$3:$C$1002,$K613))</f>
        <v/>
      </c>
      <c r="P613">
        <f>IF($A613="","",$A613*100000+ROW())</f>
        <v/>
      </c>
    </row>
    <row r="614" ht="18" customHeight="1">
      <c r="A614" s="60" t="n"/>
      <c r="B614" s="61">
        <f>IF(A614="","",TEXT(A614,"mmm yyyy"))</f>
        <v/>
      </c>
      <c r="C614" s="62" t="n"/>
      <c r="D614" s="62" t="n"/>
      <c r="E614" s="62" t="n"/>
      <c r="F614" s="62" t="n"/>
      <c r="G614" s="63" t="n"/>
      <c r="H614" s="62" t="n"/>
      <c r="K614">
        <f>IF($C614="","",IF(COUNTIF($C$3:$C614,$C614)=1,$C614,""))</f>
        <v/>
      </c>
      <c r="L614">
        <f>IF($K614="","",$M614+ROW()/10000000)</f>
        <v/>
      </c>
      <c r="M614">
        <f>IF($K614="","",SUMIF($C$3:$C$1002,$K614,$G$3:$G$1002))</f>
        <v/>
      </c>
      <c r="N614">
        <f>IF($K614="","",COUNTIF($C$3:$C$1002,$K614))</f>
        <v/>
      </c>
      <c r="P614">
        <f>IF($A614="","",$A614*100000+ROW())</f>
        <v/>
      </c>
    </row>
    <row r="615" ht="18" customHeight="1">
      <c r="A615" s="60" t="n"/>
      <c r="B615" s="61">
        <f>IF(A615="","",TEXT(A615,"mmm yyyy"))</f>
        <v/>
      </c>
      <c r="C615" s="62" t="n"/>
      <c r="D615" s="62" t="n"/>
      <c r="E615" s="62" t="n"/>
      <c r="F615" s="62" t="n"/>
      <c r="G615" s="63" t="n"/>
      <c r="H615" s="62" t="n"/>
      <c r="K615">
        <f>IF($C615="","",IF(COUNTIF($C$3:$C615,$C615)=1,$C615,""))</f>
        <v/>
      </c>
      <c r="L615">
        <f>IF($K615="","",$M615+ROW()/10000000)</f>
        <v/>
      </c>
      <c r="M615">
        <f>IF($K615="","",SUMIF($C$3:$C$1002,$K615,$G$3:$G$1002))</f>
        <v/>
      </c>
      <c r="N615">
        <f>IF($K615="","",COUNTIF($C$3:$C$1002,$K615))</f>
        <v/>
      </c>
      <c r="P615">
        <f>IF($A615="","",$A615*100000+ROW())</f>
        <v/>
      </c>
    </row>
    <row r="616" ht="18" customHeight="1">
      <c r="A616" s="60" t="n"/>
      <c r="B616" s="61">
        <f>IF(A616="","",TEXT(A616,"mmm yyyy"))</f>
        <v/>
      </c>
      <c r="C616" s="62" t="n"/>
      <c r="D616" s="62" t="n"/>
      <c r="E616" s="62" t="n"/>
      <c r="F616" s="62" t="n"/>
      <c r="G616" s="63" t="n"/>
      <c r="H616" s="62" t="n"/>
      <c r="K616">
        <f>IF($C616="","",IF(COUNTIF($C$3:$C616,$C616)=1,$C616,""))</f>
        <v/>
      </c>
      <c r="L616">
        <f>IF($K616="","",$M616+ROW()/10000000)</f>
        <v/>
      </c>
      <c r="M616">
        <f>IF($K616="","",SUMIF($C$3:$C$1002,$K616,$G$3:$G$1002))</f>
        <v/>
      </c>
      <c r="N616">
        <f>IF($K616="","",COUNTIF($C$3:$C$1002,$K616))</f>
        <v/>
      </c>
      <c r="P616">
        <f>IF($A616="","",$A616*100000+ROW())</f>
        <v/>
      </c>
    </row>
    <row r="617" ht="18" customHeight="1">
      <c r="A617" s="60" t="n"/>
      <c r="B617" s="61">
        <f>IF(A617="","",TEXT(A617,"mmm yyyy"))</f>
        <v/>
      </c>
      <c r="C617" s="62" t="n"/>
      <c r="D617" s="62" t="n"/>
      <c r="E617" s="62" t="n"/>
      <c r="F617" s="62" t="n"/>
      <c r="G617" s="63" t="n"/>
      <c r="H617" s="62" t="n"/>
      <c r="K617">
        <f>IF($C617="","",IF(COUNTIF($C$3:$C617,$C617)=1,$C617,""))</f>
        <v/>
      </c>
      <c r="L617">
        <f>IF($K617="","",$M617+ROW()/10000000)</f>
        <v/>
      </c>
      <c r="M617">
        <f>IF($K617="","",SUMIF($C$3:$C$1002,$K617,$G$3:$G$1002))</f>
        <v/>
      </c>
      <c r="N617">
        <f>IF($K617="","",COUNTIF($C$3:$C$1002,$K617))</f>
        <v/>
      </c>
      <c r="P617">
        <f>IF($A617="","",$A617*100000+ROW())</f>
        <v/>
      </c>
    </row>
    <row r="618" ht="18" customHeight="1">
      <c r="A618" s="60" t="n"/>
      <c r="B618" s="61">
        <f>IF(A618="","",TEXT(A618,"mmm yyyy"))</f>
        <v/>
      </c>
      <c r="C618" s="62" t="n"/>
      <c r="D618" s="62" t="n"/>
      <c r="E618" s="62" t="n"/>
      <c r="F618" s="62" t="n"/>
      <c r="G618" s="63" t="n"/>
      <c r="H618" s="62" t="n"/>
      <c r="K618">
        <f>IF($C618="","",IF(COUNTIF($C$3:$C618,$C618)=1,$C618,""))</f>
        <v/>
      </c>
      <c r="L618">
        <f>IF($K618="","",$M618+ROW()/10000000)</f>
        <v/>
      </c>
      <c r="M618">
        <f>IF($K618="","",SUMIF($C$3:$C$1002,$K618,$G$3:$G$1002))</f>
        <v/>
      </c>
      <c r="N618">
        <f>IF($K618="","",COUNTIF($C$3:$C$1002,$K618))</f>
        <v/>
      </c>
      <c r="P618">
        <f>IF($A618="","",$A618*100000+ROW())</f>
        <v/>
      </c>
    </row>
    <row r="619" ht="18" customHeight="1">
      <c r="A619" s="60" t="n"/>
      <c r="B619" s="61">
        <f>IF(A619="","",TEXT(A619,"mmm yyyy"))</f>
        <v/>
      </c>
      <c r="C619" s="62" t="n"/>
      <c r="D619" s="62" t="n"/>
      <c r="E619" s="62" t="n"/>
      <c r="F619" s="62" t="n"/>
      <c r="G619" s="63" t="n"/>
      <c r="H619" s="62" t="n"/>
      <c r="K619">
        <f>IF($C619="","",IF(COUNTIF($C$3:$C619,$C619)=1,$C619,""))</f>
        <v/>
      </c>
      <c r="L619">
        <f>IF($K619="","",$M619+ROW()/10000000)</f>
        <v/>
      </c>
      <c r="M619">
        <f>IF($K619="","",SUMIF($C$3:$C$1002,$K619,$G$3:$G$1002))</f>
        <v/>
      </c>
      <c r="N619">
        <f>IF($K619="","",COUNTIF($C$3:$C$1002,$K619))</f>
        <v/>
      </c>
      <c r="P619">
        <f>IF($A619="","",$A619*100000+ROW())</f>
        <v/>
      </c>
    </row>
    <row r="620" ht="18" customHeight="1">
      <c r="A620" s="60" t="n"/>
      <c r="B620" s="61">
        <f>IF(A620="","",TEXT(A620,"mmm yyyy"))</f>
        <v/>
      </c>
      <c r="C620" s="62" t="n"/>
      <c r="D620" s="62" t="n"/>
      <c r="E620" s="62" t="n"/>
      <c r="F620" s="62" t="n"/>
      <c r="G620" s="63" t="n"/>
      <c r="H620" s="62" t="n"/>
      <c r="K620">
        <f>IF($C620="","",IF(COUNTIF($C$3:$C620,$C620)=1,$C620,""))</f>
        <v/>
      </c>
      <c r="L620">
        <f>IF($K620="","",$M620+ROW()/10000000)</f>
        <v/>
      </c>
      <c r="M620">
        <f>IF($K620="","",SUMIF($C$3:$C$1002,$K620,$G$3:$G$1002))</f>
        <v/>
      </c>
      <c r="N620">
        <f>IF($K620="","",COUNTIF($C$3:$C$1002,$K620))</f>
        <v/>
      </c>
      <c r="P620">
        <f>IF($A620="","",$A620*100000+ROW())</f>
        <v/>
      </c>
    </row>
    <row r="621" ht="18" customHeight="1">
      <c r="A621" s="60" t="n"/>
      <c r="B621" s="61">
        <f>IF(A621="","",TEXT(A621,"mmm yyyy"))</f>
        <v/>
      </c>
      <c r="C621" s="62" t="n"/>
      <c r="D621" s="62" t="n"/>
      <c r="E621" s="62" t="n"/>
      <c r="F621" s="62" t="n"/>
      <c r="G621" s="63" t="n"/>
      <c r="H621" s="62" t="n"/>
      <c r="K621">
        <f>IF($C621="","",IF(COUNTIF($C$3:$C621,$C621)=1,$C621,""))</f>
        <v/>
      </c>
      <c r="L621">
        <f>IF($K621="","",$M621+ROW()/10000000)</f>
        <v/>
      </c>
      <c r="M621">
        <f>IF($K621="","",SUMIF($C$3:$C$1002,$K621,$G$3:$G$1002))</f>
        <v/>
      </c>
      <c r="N621">
        <f>IF($K621="","",COUNTIF($C$3:$C$1002,$K621))</f>
        <v/>
      </c>
      <c r="P621">
        <f>IF($A621="","",$A621*100000+ROW())</f>
        <v/>
      </c>
    </row>
    <row r="622" ht="18" customHeight="1">
      <c r="A622" s="60" t="n"/>
      <c r="B622" s="61">
        <f>IF(A622="","",TEXT(A622,"mmm yyyy"))</f>
        <v/>
      </c>
      <c r="C622" s="62" t="n"/>
      <c r="D622" s="62" t="n"/>
      <c r="E622" s="62" t="n"/>
      <c r="F622" s="62" t="n"/>
      <c r="G622" s="63" t="n"/>
      <c r="H622" s="62" t="n"/>
      <c r="K622">
        <f>IF($C622="","",IF(COUNTIF($C$3:$C622,$C622)=1,$C622,""))</f>
        <v/>
      </c>
      <c r="L622">
        <f>IF($K622="","",$M622+ROW()/10000000)</f>
        <v/>
      </c>
      <c r="M622">
        <f>IF($K622="","",SUMIF($C$3:$C$1002,$K622,$G$3:$G$1002))</f>
        <v/>
      </c>
      <c r="N622">
        <f>IF($K622="","",COUNTIF($C$3:$C$1002,$K622))</f>
        <v/>
      </c>
      <c r="P622">
        <f>IF($A622="","",$A622*100000+ROW())</f>
        <v/>
      </c>
    </row>
    <row r="623" ht="18" customHeight="1">
      <c r="A623" s="60" t="n"/>
      <c r="B623" s="61">
        <f>IF(A623="","",TEXT(A623,"mmm yyyy"))</f>
        <v/>
      </c>
      <c r="C623" s="62" t="n"/>
      <c r="D623" s="62" t="n"/>
      <c r="E623" s="62" t="n"/>
      <c r="F623" s="62" t="n"/>
      <c r="G623" s="63" t="n"/>
      <c r="H623" s="62" t="n"/>
      <c r="K623">
        <f>IF($C623="","",IF(COUNTIF($C$3:$C623,$C623)=1,$C623,""))</f>
        <v/>
      </c>
      <c r="L623">
        <f>IF($K623="","",$M623+ROW()/10000000)</f>
        <v/>
      </c>
      <c r="M623">
        <f>IF($K623="","",SUMIF($C$3:$C$1002,$K623,$G$3:$G$1002))</f>
        <v/>
      </c>
      <c r="N623">
        <f>IF($K623="","",COUNTIF($C$3:$C$1002,$K623))</f>
        <v/>
      </c>
      <c r="P623">
        <f>IF($A623="","",$A623*100000+ROW())</f>
        <v/>
      </c>
    </row>
    <row r="624" ht="18" customHeight="1">
      <c r="A624" s="60" t="n"/>
      <c r="B624" s="61">
        <f>IF(A624="","",TEXT(A624,"mmm yyyy"))</f>
        <v/>
      </c>
      <c r="C624" s="62" t="n"/>
      <c r="D624" s="62" t="n"/>
      <c r="E624" s="62" t="n"/>
      <c r="F624" s="62" t="n"/>
      <c r="G624" s="63" t="n"/>
      <c r="H624" s="62" t="n"/>
      <c r="K624">
        <f>IF($C624="","",IF(COUNTIF($C$3:$C624,$C624)=1,$C624,""))</f>
        <v/>
      </c>
      <c r="L624">
        <f>IF($K624="","",$M624+ROW()/10000000)</f>
        <v/>
      </c>
      <c r="M624">
        <f>IF($K624="","",SUMIF($C$3:$C$1002,$K624,$G$3:$G$1002))</f>
        <v/>
      </c>
      <c r="N624">
        <f>IF($K624="","",COUNTIF($C$3:$C$1002,$K624))</f>
        <v/>
      </c>
      <c r="P624">
        <f>IF($A624="","",$A624*100000+ROW())</f>
        <v/>
      </c>
    </row>
    <row r="625" ht="18" customHeight="1">
      <c r="A625" s="60" t="n"/>
      <c r="B625" s="61">
        <f>IF(A625="","",TEXT(A625,"mmm yyyy"))</f>
        <v/>
      </c>
      <c r="C625" s="62" t="n"/>
      <c r="D625" s="62" t="n"/>
      <c r="E625" s="62" t="n"/>
      <c r="F625" s="62" t="n"/>
      <c r="G625" s="63" t="n"/>
      <c r="H625" s="62" t="n"/>
      <c r="K625">
        <f>IF($C625="","",IF(COUNTIF($C$3:$C625,$C625)=1,$C625,""))</f>
        <v/>
      </c>
      <c r="L625">
        <f>IF($K625="","",$M625+ROW()/10000000)</f>
        <v/>
      </c>
      <c r="M625">
        <f>IF($K625="","",SUMIF($C$3:$C$1002,$K625,$G$3:$G$1002))</f>
        <v/>
      </c>
      <c r="N625">
        <f>IF($K625="","",COUNTIF($C$3:$C$1002,$K625))</f>
        <v/>
      </c>
      <c r="P625">
        <f>IF($A625="","",$A625*100000+ROW())</f>
        <v/>
      </c>
    </row>
    <row r="626" ht="18" customHeight="1">
      <c r="A626" s="60" t="n"/>
      <c r="B626" s="61">
        <f>IF(A626="","",TEXT(A626,"mmm yyyy"))</f>
        <v/>
      </c>
      <c r="C626" s="62" t="n"/>
      <c r="D626" s="62" t="n"/>
      <c r="E626" s="62" t="n"/>
      <c r="F626" s="62" t="n"/>
      <c r="G626" s="63" t="n"/>
      <c r="H626" s="62" t="n"/>
      <c r="K626">
        <f>IF($C626="","",IF(COUNTIF($C$3:$C626,$C626)=1,$C626,""))</f>
        <v/>
      </c>
      <c r="L626">
        <f>IF($K626="","",$M626+ROW()/10000000)</f>
        <v/>
      </c>
      <c r="M626">
        <f>IF($K626="","",SUMIF($C$3:$C$1002,$K626,$G$3:$G$1002))</f>
        <v/>
      </c>
      <c r="N626">
        <f>IF($K626="","",COUNTIF($C$3:$C$1002,$K626))</f>
        <v/>
      </c>
      <c r="P626">
        <f>IF($A626="","",$A626*100000+ROW())</f>
        <v/>
      </c>
    </row>
    <row r="627" ht="18" customHeight="1">
      <c r="A627" s="60" t="n"/>
      <c r="B627" s="61">
        <f>IF(A627="","",TEXT(A627,"mmm yyyy"))</f>
        <v/>
      </c>
      <c r="C627" s="62" t="n"/>
      <c r="D627" s="62" t="n"/>
      <c r="E627" s="62" t="n"/>
      <c r="F627" s="62" t="n"/>
      <c r="G627" s="63" t="n"/>
      <c r="H627" s="62" t="n"/>
      <c r="K627">
        <f>IF($C627="","",IF(COUNTIF($C$3:$C627,$C627)=1,$C627,""))</f>
        <v/>
      </c>
      <c r="L627">
        <f>IF($K627="","",$M627+ROW()/10000000)</f>
        <v/>
      </c>
      <c r="M627">
        <f>IF($K627="","",SUMIF($C$3:$C$1002,$K627,$G$3:$G$1002))</f>
        <v/>
      </c>
      <c r="N627">
        <f>IF($K627="","",COUNTIF($C$3:$C$1002,$K627))</f>
        <v/>
      </c>
      <c r="P627">
        <f>IF($A627="","",$A627*100000+ROW())</f>
        <v/>
      </c>
    </row>
    <row r="628" ht="18" customHeight="1">
      <c r="A628" s="60" t="n"/>
      <c r="B628" s="61">
        <f>IF(A628="","",TEXT(A628,"mmm yyyy"))</f>
        <v/>
      </c>
      <c r="C628" s="62" t="n"/>
      <c r="D628" s="62" t="n"/>
      <c r="E628" s="62" t="n"/>
      <c r="F628" s="62" t="n"/>
      <c r="G628" s="63" t="n"/>
      <c r="H628" s="62" t="n"/>
      <c r="K628">
        <f>IF($C628="","",IF(COUNTIF($C$3:$C628,$C628)=1,$C628,""))</f>
        <v/>
      </c>
      <c r="L628">
        <f>IF($K628="","",$M628+ROW()/10000000)</f>
        <v/>
      </c>
      <c r="M628">
        <f>IF($K628="","",SUMIF($C$3:$C$1002,$K628,$G$3:$G$1002))</f>
        <v/>
      </c>
      <c r="N628">
        <f>IF($K628="","",COUNTIF($C$3:$C$1002,$K628))</f>
        <v/>
      </c>
      <c r="P628">
        <f>IF($A628="","",$A628*100000+ROW())</f>
        <v/>
      </c>
    </row>
    <row r="629" ht="18" customHeight="1">
      <c r="A629" s="60" t="n"/>
      <c r="B629" s="61">
        <f>IF(A629="","",TEXT(A629,"mmm yyyy"))</f>
        <v/>
      </c>
      <c r="C629" s="62" t="n"/>
      <c r="D629" s="62" t="n"/>
      <c r="E629" s="62" t="n"/>
      <c r="F629" s="62" t="n"/>
      <c r="G629" s="63" t="n"/>
      <c r="H629" s="62" t="n"/>
      <c r="K629">
        <f>IF($C629="","",IF(COUNTIF($C$3:$C629,$C629)=1,$C629,""))</f>
        <v/>
      </c>
      <c r="L629">
        <f>IF($K629="","",$M629+ROW()/10000000)</f>
        <v/>
      </c>
      <c r="M629">
        <f>IF($K629="","",SUMIF($C$3:$C$1002,$K629,$G$3:$G$1002))</f>
        <v/>
      </c>
      <c r="N629">
        <f>IF($K629="","",COUNTIF($C$3:$C$1002,$K629))</f>
        <v/>
      </c>
      <c r="P629">
        <f>IF($A629="","",$A629*100000+ROW())</f>
        <v/>
      </c>
    </row>
    <row r="630" ht="18" customHeight="1">
      <c r="A630" s="60" t="n"/>
      <c r="B630" s="61">
        <f>IF(A630="","",TEXT(A630,"mmm yyyy"))</f>
        <v/>
      </c>
      <c r="C630" s="62" t="n"/>
      <c r="D630" s="62" t="n"/>
      <c r="E630" s="62" t="n"/>
      <c r="F630" s="62" t="n"/>
      <c r="G630" s="63" t="n"/>
      <c r="H630" s="62" t="n"/>
      <c r="K630">
        <f>IF($C630="","",IF(COUNTIF($C$3:$C630,$C630)=1,$C630,""))</f>
        <v/>
      </c>
      <c r="L630">
        <f>IF($K630="","",$M630+ROW()/10000000)</f>
        <v/>
      </c>
      <c r="M630">
        <f>IF($K630="","",SUMIF($C$3:$C$1002,$K630,$G$3:$G$1002))</f>
        <v/>
      </c>
      <c r="N630">
        <f>IF($K630="","",COUNTIF($C$3:$C$1002,$K630))</f>
        <v/>
      </c>
      <c r="P630">
        <f>IF($A630="","",$A630*100000+ROW())</f>
        <v/>
      </c>
    </row>
    <row r="631" ht="18" customHeight="1">
      <c r="A631" s="60" t="n"/>
      <c r="B631" s="61">
        <f>IF(A631="","",TEXT(A631,"mmm yyyy"))</f>
        <v/>
      </c>
      <c r="C631" s="62" t="n"/>
      <c r="D631" s="62" t="n"/>
      <c r="E631" s="62" t="n"/>
      <c r="F631" s="62" t="n"/>
      <c r="G631" s="63" t="n"/>
      <c r="H631" s="62" t="n"/>
      <c r="K631">
        <f>IF($C631="","",IF(COUNTIF($C$3:$C631,$C631)=1,$C631,""))</f>
        <v/>
      </c>
      <c r="L631">
        <f>IF($K631="","",$M631+ROW()/10000000)</f>
        <v/>
      </c>
      <c r="M631">
        <f>IF($K631="","",SUMIF($C$3:$C$1002,$K631,$G$3:$G$1002))</f>
        <v/>
      </c>
      <c r="N631">
        <f>IF($K631="","",COUNTIF($C$3:$C$1002,$K631))</f>
        <v/>
      </c>
      <c r="P631">
        <f>IF($A631="","",$A631*100000+ROW())</f>
        <v/>
      </c>
    </row>
    <row r="632" ht="18" customHeight="1">
      <c r="A632" s="60" t="n"/>
      <c r="B632" s="61">
        <f>IF(A632="","",TEXT(A632,"mmm yyyy"))</f>
        <v/>
      </c>
      <c r="C632" s="62" t="n"/>
      <c r="D632" s="62" t="n"/>
      <c r="E632" s="62" t="n"/>
      <c r="F632" s="62" t="n"/>
      <c r="G632" s="63" t="n"/>
      <c r="H632" s="62" t="n"/>
      <c r="K632">
        <f>IF($C632="","",IF(COUNTIF($C$3:$C632,$C632)=1,$C632,""))</f>
        <v/>
      </c>
      <c r="L632">
        <f>IF($K632="","",$M632+ROW()/10000000)</f>
        <v/>
      </c>
      <c r="M632">
        <f>IF($K632="","",SUMIF($C$3:$C$1002,$K632,$G$3:$G$1002))</f>
        <v/>
      </c>
      <c r="N632">
        <f>IF($K632="","",COUNTIF($C$3:$C$1002,$K632))</f>
        <v/>
      </c>
      <c r="P632">
        <f>IF($A632="","",$A632*100000+ROW())</f>
        <v/>
      </c>
    </row>
    <row r="633" ht="18" customHeight="1">
      <c r="A633" s="60" t="n"/>
      <c r="B633" s="61">
        <f>IF(A633="","",TEXT(A633,"mmm yyyy"))</f>
        <v/>
      </c>
      <c r="C633" s="62" t="n"/>
      <c r="D633" s="62" t="n"/>
      <c r="E633" s="62" t="n"/>
      <c r="F633" s="62" t="n"/>
      <c r="G633" s="63" t="n"/>
      <c r="H633" s="62" t="n"/>
      <c r="K633">
        <f>IF($C633="","",IF(COUNTIF($C$3:$C633,$C633)=1,$C633,""))</f>
        <v/>
      </c>
      <c r="L633">
        <f>IF($K633="","",$M633+ROW()/10000000)</f>
        <v/>
      </c>
      <c r="M633">
        <f>IF($K633="","",SUMIF($C$3:$C$1002,$K633,$G$3:$G$1002))</f>
        <v/>
      </c>
      <c r="N633">
        <f>IF($K633="","",COUNTIF($C$3:$C$1002,$K633))</f>
        <v/>
      </c>
      <c r="P633">
        <f>IF($A633="","",$A633*100000+ROW())</f>
        <v/>
      </c>
    </row>
    <row r="634" ht="18" customHeight="1">
      <c r="A634" s="60" t="n"/>
      <c r="B634" s="61">
        <f>IF(A634="","",TEXT(A634,"mmm yyyy"))</f>
        <v/>
      </c>
      <c r="C634" s="62" t="n"/>
      <c r="D634" s="62" t="n"/>
      <c r="E634" s="62" t="n"/>
      <c r="F634" s="62" t="n"/>
      <c r="G634" s="63" t="n"/>
      <c r="H634" s="62" t="n"/>
      <c r="K634">
        <f>IF($C634="","",IF(COUNTIF($C$3:$C634,$C634)=1,$C634,""))</f>
        <v/>
      </c>
      <c r="L634">
        <f>IF($K634="","",$M634+ROW()/10000000)</f>
        <v/>
      </c>
      <c r="M634">
        <f>IF($K634="","",SUMIF($C$3:$C$1002,$K634,$G$3:$G$1002))</f>
        <v/>
      </c>
      <c r="N634">
        <f>IF($K634="","",COUNTIF($C$3:$C$1002,$K634))</f>
        <v/>
      </c>
      <c r="P634">
        <f>IF($A634="","",$A634*100000+ROW())</f>
        <v/>
      </c>
    </row>
    <row r="635" ht="18" customHeight="1">
      <c r="A635" s="60" t="n"/>
      <c r="B635" s="61">
        <f>IF(A635="","",TEXT(A635,"mmm yyyy"))</f>
        <v/>
      </c>
      <c r="C635" s="62" t="n"/>
      <c r="D635" s="62" t="n"/>
      <c r="E635" s="62" t="n"/>
      <c r="F635" s="62" t="n"/>
      <c r="G635" s="63" t="n"/>
      <c r="H635" s="62" t="n"/>
      <c r="K635">
        <f>IF($C635="","",IF(COUNTIF($C$3:$C635,$C635)=1,$C635,""))</f>
        <v/>
      </c>
      <c r="L635">
        <f>IF($K635="","",$M635+ROW()/10000000)</f>
        <v/>
      </c>
      <c r="M635">
        <f>IF($K635="","",SUMIF($C$3:$C$1002,$K635,$G$3:$G$1002))</f>
        <v/>
      </c>
      <c r="N635">
        <f>IF($K635="","",COUNTIF($C$3:$C$1002,$K635))</f>
        <v/>
      </c>
      <c r="P635">
        <f>IF($A635="","",$A635*100000+ROW())</f>
        <v/>
      </c>
    </row>
    <row r="636" ht="18" customHeight="1">
      <c r="A636" s="60" t="n"/>
      <c r="B636" s="61">
        <f>IF(A636="","",TEXT(A636,"mmm yyyy"))</f>
        <v/>
      </c>
      <c r="C636" s="62" t="n"/>
      <c r="D636" s="62" t="n"/>
      <c r="E636" s="62" t="n"/>
      <c r="F636" s="62" t="n"/>
      <c r="G636" s="63" t="n"/>
      <c r="H636" s="62" t="n"/>
      <c r="K636">
        <f>IF($C636="","",IF(COUNTIF($C$3:$C636,$C636)=1,$C636,""))</f>
        <v/>
      </c>
      <c r="L636">
        <f>IF($K636="","",$M636+ROW()/10000000)</f>
        <v/>
      </c>
      <c r="M636">
        <f>IF($K636="","",SUMIF($C$3:$C$1002,$K636,$G$3:$G$1002))</f>
        <v/>
      </c>
      <c r="N636">
        <f>IF($K636="","",COUNTIF($C$3:$C$1002,$K636))</f>
        <v/>
      </c>
      <c r="P636">
        <f>IF($A636="","",$A636*100000+ROW())</f>
        <v/>
      </c>
    </row>
    <row r="637" ht="18" customHeight="1">
      <c r="A637" s="60" t="n"/>
      <c r="B637" s="61">
        <f>IF(A637="","",TEXT(A637,"mmm yyyy"))</f>
        <v/>
      </c>
      <c r="C637" s="62" t="n"/>
      <c r="D637" s="62" t="n"/>
      <c r="E637" s="62" t="n"/>
      <c r="F637" s="62" t="n"/>
      <c r="G637" s="63" t="n"/>
      <c r="H637" s="62" t="n"/>
      <c r="K637">
        <f>IF($C637="","",IF(COUNTIF($C$3:$C637,$C637)=1,$C637,""))</f>
        <v/>
      </c>
      <c r="L637">
        <f>IF($K637="","",$M637+ROW()/10000000)</f>
        <v/>
      </c>
      <c r="M637">
        <f>IF($K637="","",SUMIF($C$3:$C$1002,$K637,$G$3:$G$1002))</f>
        <v/>
      </c>
      <c r="N637">
        <f>IF($K637="","",COUNTIF($C$3:$C$1002,$K637))</f>
        <v/>
      </c>
      <c r="P637">
        <f>IF($A637="","",$A637*100000+ROW())</f>
        <v/>
      </c>
    </row>
    <row r="638" ht="18" customHeight="1">
      <c r="A638" s="60" t="n"/>
      <c r="B638" s="61">
        <f>IF(A638="","",TEXT(A638,"mmm yyyy"))</f>
        <v/>
      </c>
      <c r="C638" s="62" t="n"/>
      <c r="D638" s="62" t="n"/>
      <c r="E638" s="62" t="n"/>
      <c r="F638" s="62" t="n"/>
      <c r="G638" s="63" t="n"/>
      <c r="H638" s="62" t="n"/>
      <c r="K638">
        <f>IF($C638="","",IF(COUNTIF($C$3:$C638,$C638)=1,$C638,""))</f>
        <v/>
      </c>
      <c r="L638">
        <f>IF($K638="","",$M638+ROW()/10000000)</f>
        <v/>
      </c>
      <c r="M638">
        <f>IF($K638="","",SUMIF($C$3:$C$1002,$K638,$G$3:$G$1002))</f>
        <v/>
      </c>
      <c r="N638">
        <f>IF($K638="","",COUNTIF($C$3:$C$1002,$K638))</f>
        <v/>
      </c>
      <c r="P638">
        <f>IF($A638="","",$A638*100000+ROW())</f>
        <v/>
      </c>
    </row>
    <row r="639" ht="18" customHeight="1">
      <c r="A639" s="60" t="n"/>
      <c r="B639" s="61">
        <f>IF(A639="","",TEXT(A639,"mmm yyyy"))</f>
        <v/>
      </c>
      <c r="C639" s="62" t="n"/>
      <c r="D639" s="62" t="n"/>
      <c r="E639" s="62" t="n"/>
      <c r="F639" s="62" t="n"/>
      <c r="G639" s="63" t="n"/>
      <c r="H639" s="62" t="n"/>
      <c r="K639">
        <f>IF($C639="","",IF(COUNTIF($C$3:$C639,$C639)=1,$C639,""))</f>
        <v/>
      </c>
      <c r="L639">
        <f>IF($K639="","",$M639+ROW()/10000000)</f>
        <v/>
      </c>
      <c r="M639">
        <f>IF($K639="","",SUMIF($C$3:$C$1002,$K639,$G$3:$G$1002))</f>
        <v/>
      </c>
      <c r="N639">
        <f>IF($K639="","",COUNTIF($C$3:$C$1002,$K639))</f>
        <v/>
      </c>
      <c r="P639">
        <f>IF($A639="","",$A639*100000+ROW())</f>
        <v/>
      </c>
    </row>
    <row r="640" ht="18" customHeight="1">
      <c r="A640" s="60" t="n"/>
      <c r="B640" s="61">
        <f>IF(A640="","",TEXT(A640,"mmm yyyy"))</f>
        <v/>
      </c>
      <c r="C640" s="62" t="n"/>
      <c r="D640" s="62" t="n"/>
      <c r="E640" s="62" t="n"/>
      <c r="F640" s="62" t="n"/>
      <c r="G640" s="63" t="n"/>
      <c r="H640" s="62" t="n"/>
      <c r="K640">
        <f>IF($C640="","",IF(COUNTIF($C$3:$C640,$C640)=1,$C640,""))</f>
        <v/>
      </c>
      <c r="L640">
        <f>IF($K640="","",$M640+ROW()/10000000)</f>
        <v/>
      </c>
      <c r="M640">
        <f>IF($K640="","",SUMIF($C$3:$C$1002,$K640,$G$3:$G$1002))</f>
        <v/>
      </c>
      <c r="N640">
        <f>IF($K640="","",COUNTIF($C$3:$C$1002,$K640))</f>
        <v/>
      </c>
      <c r="P640">
        <f>IF($A640="","",$A640*100000+ROW())</f>
        <v/>
      </c>
    </row>
    <row r="641" ht="18" customHeight="1">
      <c r="A641" s="60" t="n"/>
      <c r="B641" s="61">
        <f>IF(A641="","",TEXT(A641,"mmm yyyy"))</f>
        <v/>
      </c>
      <c r="C641" s="62" t="n"/>
      <c r="D641" s="62" t="n"/>
      <c r="E641" s="62" t="n"/>
      <c r="F641" s="62" t="n"/>
      <c r="G641" s="63" t="n"/>
      <c r="H641" s="62" t="n"/>
      <c r="K641">
        <f>IF($C641="","",IF(COUNTIF($C$3:$C641,$C641)=1,$C641,""))</f>
        <v/>
      </c>
      <c r="L641">
        <f>IF($K641="","",$M641+ROW()/10000000)</f>
        <v/>
      </c>
      <c r="M641">
        <f>IF($K641="","",SUMIF($C$3:$C$1002,$K641,$G$3:$G$1002))</f>
        <v/>
      </c>
      <c r="N641">
        <f>IF($K641="","",COUNTIF($C$3:$C$1002,$K641))</f>
        <v/>
      </c>
      <c r="P641">
        <f>IF($A641="","",$A641*100000+ROW())</f>
        <v/>
      </c>
    </row>
    <row r="642" ht="18" customHeight="1">
      <c r="A642" s="60" t="n"/>
      <c r="B642" s="61">
        <f>IF(A642="","",TEXT(A642,"mmm yyyy"))</f>
        <v/>
      </c>
      <c r="C642" s="62" t="n"/>
      <c r="D642" s="62" t="n"/>
      <c r="E642" s="62" t="n"/>
      <c r="F642" s="62" t="n"/>
      <c r="G642" s="63" t="n"/>
      <c r="H642" s="62" t="n"/>
      <c r="K642">
        <f>IF($C642="","",IF(COUNTIF($C$3:$C642,$C642)=1,$C642,""))</f>
        <v/>
      </c>
      <c r="L642">
        <f>IF($K642="","",$M642+ROW()/10000000)</f>
        <v/>
      </c>
      <c r="M642">
        <f>IF($K642="","",SUMIF($C$3:$C$1002,$K642,$G$3:$G$1002))</f>
        <v/>
      </c>
      <c r="N642">
        <f>IF($K642="","",COUNTIF($C$3:$C$1002,$K642))</f>
        <v/>
      </c>
      <c r="P642">
        <f>IF($A642="","",$A642*100000+ROW())</f>
        <v/>
      </c>
    </row>
    <row r="643" ht="18" customHeight="1">
      <c r="A643" s="60" t="n"/>
      <c r="B643" s="61">
        <f>IF(A643="","",TEXT(A643,"mmm yyyy"))</f>
        <v/>
      </c>
      <c r="C643" s="62" t="n"/>
      <c r="D643" s="62" t="n"/>
      <c r="E643" s="62" t="n"/>
      <c r="F643" s="62" t="n"/>
      <c r="G643" s="63" t="n"/>
      <c r="H643" s="62" t="n"/>
      <c r="K643">
        <f>IF($C643="","",IF(COUNTIF($C$3:$C643,$C643)=1,$C643,""))</f>
        <v/>
      </c>
      <c r="L643">
        <f>IF($K643="","",$M643+ROW()/10000000)</f>
        <v/>
      </c>
      <c r="M643">
        <f>IF($K643="","",SUMIF($C$3:$C$1002,$K643,$G$3:$G$1002))</f>
        <v/>
      </c>
      <c r="N643">
        <f>IF($K643="","",COUNTIF($C$3:$C$1002,$K643))</f>
        <v/>
      </c>
      <c r="P643">
        <f>IF($A643="","",$A643*100000+ROW())</f>
        <v/>
      </c>
    </row>
    <row r="644" ht="18" customHeight="1">
      <c r="A644" s="60" t="n"/>
      <c r="B644" s="61">
        <f>IF(A644="","",TEXT(A644,"mmm yyyy"))</f>
        <v/>
      </c>
      <c r="C644" s="62" t="n"/>
      <c r="D644" s="62" t="n"/>
      <c r="E644" s="62" t="n"/>
      <c r="F644" s="62" t="n"/>
      <c r="G644" s="63" t="n"/>
      <c r="H644" s="62" t="n"/>
      <c r="K644">
        <f>IF($C644="","",IF(COUNTIF($C$3:$C644,$C644)=1,$C644,""))</f>
        <v/>
      </c>
      <c r="L644">
        <f>IF($K644="","",$M644+ROW()/10000000)</f>
        <v/>
      </c>
      <c r="M644">
        <f>IF($K644="","",SUMIF($C$3:$C$1002,$K644,$G$3:$G$1002))</f>
        <v/>
      </c>
      <c r="N644">
        <f>IF($K644="","",COUNTIF($C$3:$C$1002,$K644))</f>
        <v/>
      </c>
      <c r="P644">
        <f>IF($A644="","",$A644*100000+ROW())</f>
        <v/>
      </c>
    </row>
    <row r="645" ht="18" customHeight="1">
      <c r="A645" s="60" t="n"/>
      <c r="B645" s="61">
        <f>IF(A645="","",TEXT(A645,"mmm yyyy"))</f>
        <v/>
      </c>
      <c r="C645" s="62" t="n"/>
      <c r="D645" s="62" t="n"/>
      <c r="E645" s="62" t="n"/>
      <c r="F645" s="62" t="n"/>
      <c r="G645" s="63" t="n"/>
      <c r="H645" s="62" t="n"/>
      <c r="K645">
        <f>IF($C645="","",IF(COUNTIF($C$3:$C645,$C645)=1,$C645,""))</f>
        <v/>
      </c>
      <c r="L645">
        <f>IF($K645="","",$M645+ROW()/10000000)</f>
        <v/>
      </c>
      <c r="M645">
        <f>IF($K645="","",SUMIF($C$3:$C$1002,$K645,$G$3:$G$1002))</f>
        <v/>
      </c>
      <c r="N645">
        <f>IF($K645="","",COUNTIF($C$3:$C$1002,$K645))</f>
        <v/>
      </c>
      <c r="P645">
        <f>IF($A645="","",$A645*100000+ROW())</f>
        <v/>
      </c>
    </row>
    <row r="646" ht="18" customHeight="1">
      <c r="A646" s="60" t="n"/>
      <c r="B646" s="61">
        <f>IF(A646="","",TEXT(A646,"mmm yyyy"))</f>
        <v/>
      </c>
      <c r="C646" s="62" t="n"/>
      <c r="D646" s="62" t="n"/>
      <c r="E646" s="62" t="n"/>
      <c r="F646" s="62" t="n"/>
      <c r="G646" s="63" t="n"/>
      <c r="H646" s="62" t="n"/>
      <c r="K646">
        <f>IF($C646="","",IF(COUNTIF($C$3:$C646,$C646)=1,$C646,""))</f>
        <v/>
      </c>
      <c r="L646">
        <f>IF($K646="","",$M646+ROW()/10000000)</f>
        <v/>
      </c>
      <c r="M646">
        <f>IF($K646="","",SUMIF($C$3:$C$1002,$K646,$G$3:$G$1002))</f>
        <v/>
      </c>
      <c r="N646">
        <f>IF($K646="","",COUNTIF($C$3:$C$1002,$K646))</f>
        <v/>
      </c>
      <c r="P646">
        <f>IF($A646="","",$A646*100000+ROW())</f>
        <v/>
      </c>
    </row>
    <row r="647" ht="18" customHeight="1">
      <c r="A647" s="60" t="n"/>
      <c r="B647" s="61">
        <f>IF(A647="","",TEXT(A647,"mmm yyyy"))</f>
        <v/>
      </c>
      <c r="C647" s="62" t="n"/>
      <c r="D647" s="62" t="n"/>
      <c r="E647" s="62" t="n"/>
      <c r="F647" s="62" t="n"/>
      <c r="G647" s="63" t="n"/>
      <c r="H647" s="62" t="n"/>
      <c r="K647">
        <f>IF($C647="","",IF(COUNTIF($C$3:$C647,$C647)=1,$C647,""))</f>
        <v/>
      </c>
      <c r="L647">
        <f>IF($K647="","",$M647+ROW()/10000000)</f>
        <v/>
      </c>
      <c r="M647">
        <f>IF($K647="","",SUMIF($C$3:$C$1002,$K647,$G$3:$G$1002))</f>
        <v/>
      </c>
      <c r="N647">
        <f>IF($K647="","",COUNTIF($C$3:$C$1002,$K647))</f>
        <v/>
      </c>
      <c r="P647">
        <f>IF($A647="","",$A647*100000+ROW())</f>
        <v/>
      </c>
    </row>
    <row r="648" ht="18" customHeight="1">
      <c r="A648" s="60" t="n"/>
      <c r="B648" s="61">
        <f>IF(A648="","",TEXT(A648,"mmm yyyy"))</f>
        <v/>
      </c>
      <c r="C648" s="62" t="n"/>
      <c r="D648" s="62" t="n"/>
      <c r="E648" s="62" t="n"/>
      <c r="F648" s="62" t="n"/>
      <c r="G648" s="63" t="n"/>
      <c r="H648" s="62" t="n"/>
      <c r="K648">
        <f>IF($C648="","",IF(COUNTIF($C$3:$C648,$C648)=1,$C648,""))</f>
        <v/>
      </c>
      <c r="L648">
        <f>IF($K648="","",$M648+ROW()/10000000)</f>
        <v/>
      </c>
      <c r="M648">
        <f>IF($K648="","",SUMIF($C$3:$C$1002,$K648,$G$3:$G$1002))</f>
        <v/>
      </c>
      <c r="N648">
        <f>IF($K648="","",COUNTIF($C$3:$C$1002,$K648))</f>
        <v/>
      </c>
      <c r="P648">
        <f>IF($A648="","",$A648*100000+ROW())</f>
        <v/>
      </c>
    </row>
    <row r="649" ht="18" customHeight="1">
      <c r="A649" s="60" t="n"/>
      <c r="B649" s="61">
        <f>IF(A649="","",TEXT(A649,"mmm yyyy"))</f>
        <v/>
      </c>
      <c r="C649" s="62" t="n"/>
      <c r="D649" s="62" t="n"/>
      <c r="E649" s="62" t="n"/>
      <c r="F649" s="62" t="n"/>
      <c r="G649" s="63" t="n"/>
      <c r="H649" s="62" t="n"/>
      <c r="K649">
        <f>IF($C649="","",IF(COUNTIF($C$3:$C649,$C649)=1,$C649,""))</f>
        <v/>
      </c>
      <c r="L649">
        <f>IF($K649="","",$M649+ROW()/10000000)</f>
        <v/>
      </c>
      <c r="M649">
        <f>IF($K649="","",SUMIF($C$3:$C$1002,$K649,$G$3:$G$1002))</f>
        <v/>
      </c>
      <c r="N649">
        <f>IF($K649="","",COUNTIF($C$3:$C$1002,$K649))</f>
        <v/>
      </c>
      <c r="P649">
        <f>IF($A649="","",$A649*100000+ROW())</f>
        <v/>
      </c>
    </row>
    <row r="650" ht="18" customHeight="1">
      <c r="A650" s="60" t="n"/>
      <c r="B650" s="61">
        <f>IF(A650="","",TEXT(A650,"mmm yyyy"))</f>
        <v/>
      </c>
      <c r="C650" s="62" t="n"/>
      <c r="D650" s="62" t="n"/>
      <c r="E650" s="62" t="n"/>
      <c r="F650" s="62" t="n"/>
      <c r="G650" s="63" t="n"/>
      <c r="H650" s="62" t="n"/>
      <c r="K650">
        <f>IF($C650="","",IF(COUNTIF($C$3:$C650,$C650)=1,$C650,""))</f>
        <v/>
      </c>
      <c r="L650">
        <f>IF($K650="","",$M650+ROW()/10000000)</f>
        <v/>
      </c>
      <c r="M650">
        <f>IF($K650="","",SUMIF($C$3:$C$1002,$K650,$G$3:$G$1002))</f>
        <v/>
      </c>
      <c r="N650">
        <f>IF($K650="","",COUNTIF($C$3:$C$1002,$K650))</f>
        <v/>
      </c>
      <c r="P650">
        <f>IF($A650="","",$A650*100000+ROW())</f>
        <v/>
      </c>
    </row>
    <row r="651" ht="18" customHeight="1">
      <c r="A651" s="60" t="n"/>
      <c r="B651" s="61">
        <f>IF(A651="","",TEXT(A651,"mmm yyyy"))</f>
        <v/>
      </c>
      <c r="C651" s="62" t="n"/>
      <c r="D651" s="62" t="n"/>
      <c r="E651" s="62" t="n"/>
      <c r="F651" s="62" t="n"/>
      <c r="G651" s="63" t="n"/>
      <c r="H651" s="62" t="n"/>
      <c r="K651">
        <f>IF($C651="","",IF(COUNTIF($C$3:$C651,$C651)=1,$C651,""))</f>
        <v/>
      </c>
      <c r="L651">
        <f>IF($K651="","",$M651+ROW()/10000000)</f>
        <v/>
      </c>
      <c r="M651">
        <f>IF($K651="","",SUMIF($C$3:$C$1002,$K651,$G$3:$G$1002))</f>
        <v/>
      </c>
      <c r="N651">
        <f>IF($K651="","",COUNTIF($C$3:$C$1002,$K651))</f>
        <v/>
      </c>
      <c r="P651">
        <f>IF($A651="","",$A651*100000+ROW())</f>
        <v/>
      </c>
    </row>
    <row r="652" ht="18" customHeight="1">
      <c r="A652" s="60" t="n"/>
      <c r="B652" s="61">
        <f>IF(A652="","",TEXT(A652,"mmm yyyy"))</f>
        <v/>
      </c>
      <c r="C652" s="62" t="n"/>
      <c r="D652" s="62" t="n"/>
      <c r="E652" s="62" t="n"/>
      <c r="F652" s="62" t="n"/>
      <c r="G652" s="63" t="n"/>
      <c r="H652" s="62" t="n"/>
      <c r="K652">
        <f>IF($C652="","",IF(COUNTIF($C$3:$C652,$C652)=1,$C652,""))</f>
        <v/>
      </c>
      <c r="L652">
        <f>IF($K652="","",$M652+ROW()/10000000)</f>
        <v/>
      </c>
      <c r="M652">
        <f>IF($K652="","",SUMIF($C$3:$C$1002,$K652,$G$3:$G$1002))</f>
        <v/>
      </c>
      <c r="N652">
        <f>IF($K652="","",COUNTIF($C$3:$C$1002,$K652))</f>
        <v/>
      </c>
      <c r="P652">
        <f>IF($A652="","",$A652*100000+ROW())</f>
        <v/>
      </c>
    </row>
    <row r="653" ht="18" customHeight="1">
      <c r="A653" s="60" t="n"/>
      <c r="B653" s="61">
        <f>IF(A653="","",TEXT(A653,"mmm yyyy"))</f>
        <v/>
      </c>
      <c r="C653" s="62" t="n"/>
      <c r="D653" s="62" t="n"/>
      <c r="E653" s="62" t="n"/>
      <c r="F653" s="62" t="n"/>
      <c r="G653" s="63" t="n"/>
      <c r="H653" s="62" t="n"/>
      <c r="K653">
        <f>IF($C653="","",IF(COUNTIF($C$3:$C653,$C653)=1,$C653,""))</f>
        <v/>
      </c>
      <c r="L653">
        <f>IF($K653="","",$M653+ROW()/10000000)</f>
        <v/>
      </c>
      <c r="M653">
        <f>IF($K653="","",SUMIF($C$3:$C$1002,$K653,$G$3:$G$1002))</f>
        <v/>
      </c>
      <c r="N653">
        <f>IF($K653="","",COUNTIF($C$3:$C$1002,$K653))</f>
        <v/>
      </c>
      <c r="P653">
        <f>IF($A653="","",$A653*100000+ROW())</f>
        <v/>
      </c>
    </row>
    <row r="654" ht="18" customHeight="1">
      <c r="A654" s="60" t="n"/>
      <c r="B654" s="61">
        <f>IF(A654="","",TEXT(A654,"mmm yyyy"))</f>
        <v/>
      </c>
      <c r="C654" s="62" t="n"/>
      <c r="D654" s="62" t="n"/>
      <c r="E654" s="62" t="n"/>
      <c r="F654" s="62" t="n"/>
      <c r="G654" s="63" t="n"/>
      <c r="H654" s="62" t="n"/>
      <c r="K654">
        <f>IF($C654="","",IF(COUNTIF($C$3:$C654,$C654)=1,$C654,""))</f>
        <v/>
      </c>
      <c r="L654">
        <f>IF($K654="","",$M654+ROW()/10000000)</f>
        <v/>
      </c>
      <c r="M654">
        <f>IF($K654="","",SUMIF($C$3:$C$1002,$K654,$G$3:$G$1002))</f>
        <v/>
      </c>
      <c r="N654">
        <f>IF($K654="","",COUNTIF($C$3:$C$1002,$K654))</f>
        <v/>
      </c>
      <c r="P654">
        <f>IF($A654="","",$A654*100000+ROW())</f>
        <v/>
      </c>
    </row>
    <row r="655" ht="18" customHeight="1">
      <c r="A655" s="60" t="n"/>
      <c r="B655" s="61">
        <f>IF(A655="","",TEXT(A655,"mmm yyyy"))</f>
        <v/>
      </c>
      <c r="C655" s="62" t="n"/>
      <c r="D655" s="62" t="n"/>
      <c r="E655" s="62" t="n"/>
      <c r="F655" s="62" t="n"/>
      <c r="G655" s="63" t="n"/>
      <c r="H655" s="62" t="n"/>
      <c r="K655">
        <f>IF($C655="","",IF(COUNTIF($C$3:$C655,$C655)=1,$C655,""))</f>
        <v/>
      </c>
      <c r="L655">
        <f>IF($K655="","",$M655+ROW()/10000000)</f>
        <v/>
      </c>
      <c r="M655">
        <f>IF($K655="","",SUMIF($C$3:$C$1002,$K655,$G$3:$G$1002))</f>
        <v/>
      </c>
      <c r="N655">
        <f>IF($K655="","",COUNTIF($C$3:$C$1002,$K655))</f>
        <v/>
      </c>
      <c r="P655">
        <f>IF($A655="","",$A655*100000+ROW())</f>
        <v/>
      </c>
    </row>
    <row r="656" ht="18" customHeight="1">
      <c r="A656" s="60" t="n"/>
      <c r="B656" s="61">
        <f>IF(A656="","",TEXT(A656,"mmm yyyy"))</f>
        <v/>
      </c>
      <c r="C656" s="62" t="n"/>
      <c r="D656" s="62" t="n"/>
      <c r="E656" s="62" t="n"/>
      <c r="F656" s="62" t="n"/>
      <c r="G656" s="63" t="n"/>
      <c r="H656" s="62" t="n"/>
      <c r="K656">
        <f>IF($C656="","",IF(COUNTIF($C$3:$C656,$C656)=1,$C656,""))</f>
        <v/>
      </c>
      <c r="L656">
        <f>IF($K656="","",$M656+ROW()/10000000)</f>
        <v/>
      </c>
      <c r="M656">
        <f>IF($K656="","",SUMIF($C$3:$C$1002,$K656,$G$3:$G$1002))</f>
        <v/>
      </c>
      <c r="N656">
        <f>IF($K656="","",COUNTIF($C$3:$C$1002,$K656))</f>
        <v/>
      </c>
      <c r="P656">
        <f>IF($A656="","",$A656*100000+ROW())</f>
        <v/>
      </c>
    </row>
    <row r="657" ht="18" customHeight="1">
      <c r="A657" s="60" t="n"/>
      <c r="B657" s="61">
        <f>IF(A657="","",TEXT(A657,"mmm yyyy"))</f>
        <v/>
      </c>
      <c r="C657" s="62" t="n"/>
      <c r="D657" s="62" t="n"/>
      <c r="E657" s="62" t="n"/>
      <c r="F657" s="62" t="n"/>
      <c r="G657" s="63" t="n"/>
      <c r="H657" s="62" t="n"/>
      <c r="K657">
        <f>IF($C657="","",IF(COUNTIF($C$3:$C657,$C657)=1,$C657,""))</f>
        <v/>
      </c>
      <c r="L657">
        <f>IF($K657="","",$M657+ROW()/10000000)</f>
        <v/>
      </c>
      <c r="M657">
        <f>IF($K657="","",SUMIF($C$3:$C$1002,$K657,$G$3:$G$1002))</f>
        <v/>
      </c>
      <c r="N657">
        <f>IF($K657="","",COUNTIF($C$3:$C$1002,$K657))</f>
        <v/>
      </c>
      <c r="P657">
        <f>IF($A657="","",$A657*100000+ROW())</f>
        <v/>
      </c>
    </row>
    <row r="658" ht="18" customHeight="1">
      <c r="A658" s="60" t="n"/>
      <c r="B658" s="61">
        <f>IF(A658="","",TEXT(A658,"mmm yyyy"))</f>
        <v/>
      </c>
      <c r="C658" s="62" t="n"/>
      <c r="D658" s="62" t="n"/>
      <c r="E658" s="62" t="n"/>
      <c r="F658" s="62" t="n"/>
      <c r="G658" s="63" t="n"/>
      <c r="H658" s="62" t="n"/>
      <c r="K658">
        <f>IF($C658="","",IF(COUNTIF($C$3:$C658,$C658)=1,$C658,""))</f>
        <v/>
      </c>
      <c r="L658">
        <f>IF($K658="","",$M658+ROW()/10000000)</f>
        <v/>
      </c>
      <c r="M658">
        <f>IF($K658="","",SUMIF($C$3:$C$1002,$K658,$G$3:$G$1002))</f>
        <v/>
      </c>
      <c r="N658">
        <f>IF($K658="","",COUNTIF($C$3:$C$1002,$K658))</f>
        <v/>
      </c>
      <c r="P658">
        <f>IF($A658="","",$A658*100000+ROW())</f>
        <v/>
      </c>
    </row>
    <row r="659" ht="18" customHeight="1">
      <c r="A659" s="60" t="n"/>
      <c r="B659" s="61">
        <f>IF(A659="","",TEXT(A659,"mmm yyyy"))</f>
        <v/>
      </c>
      <c r="C659" s="62" t="n"/>
      <c r="D659" s="62" t="n"/>
      <c r="E659" s="62" t="n"/>
      <c r="F659" s="62" t="n"/>
      <c r="G659" s="63" t="n"/>
      <c r="H659" s="62" t="n"/>
      <c r="K659">
        <f>IF($C659="","",IF(COUNTIF($C$3:$C659,$C659)=1,$C659,""))</f>
        <v/>
      </c>
      <c r="L659">
        <f>IF($K659="","",$M659+ROW()/10000000)</f>
        <v/>
      </c>
      <c r="M659">
        <f>IF($K659="","",SUMIF($C$3:$C$1002,$K659,$G$3:$G$1002))</f>
        <v/>
      </c>
      <c r="N659">
        <f>IF($K659="","",COUNTIF($C$3:$C$1002,$K659))</f>
        <v/>
      </c>
      <c r="P659">
        <f>IF($A659="","",$A659*100000+ROW())</f>
        <v/>
      </c>
    </row>
    <row r="660" ht="18" customHeight="1">
      <c r="A660" s="60" t="n"/>
      <c r="B660" s="61">
        <f>IF(A660="","",TEXT(A660,"mmm yyyy"))</f>
        <v/>
      </c>
      <c r="C660" s="62" t="n"/>
      <c r="D660" s="62" t="n"/>
      <c r="E660" s="62" t="n"/>
      <c r="F660" s="62" t="n"/>
      <c r="G660" s="63" t="n"/>
      <c r="H660" s="62" t="n"/>
      <c r="K660">
        <f>IF($C660="","",IF(COUNTIF($C$3:$C660,$C660)=1,$C660,""))</f>
        <v/>
      </c>
      <c r="L660">
        <f>IF($K660="","",$M660+ROW()/10000000)</f>
        <v/>
      </c>
      <c r="M660">
        <f>IF($K660="","",SUMIF($C$3:$C$1002,$K660,$G$3:$G$1002))</f>
        <v/>
      </c>
      <c r="N660">
        <f>IF($K660="","",COUNTIF($C$3:$C$1002,$K660))</f>
        <v/>
      </c>
      <c r="P660">
        <f>IF($A660="","",$A660*100000+ROW())</f>
        <v/>
      </c>
    </row>
    <row r="661" ht="18" customHeight="1">
      <c r="A661" s="60" t="n"/>
      <c r="B661" s="61">
        <f>IF(A661="","",TEXT(A661,"mmm yyyy"))</f>
        <v/>
      </c>
      <c r="C661" s="62" t="n"/>
      <c r="D661" s="62" t="n"/>
      <c r="E661" s="62" t="n"/>
      <c r="F661" s="62" t="n"/>
      <c r="G661" s="63" t="n"/>
      <c r="H661" s="62" t="n"/>
      <c r="K661">
        <f>IF($C661="","",IF(COUNTIF($C$3:$C661,$C661)=1,$C661,""))</f>
        <v/>
      </c>
      <c r="L661">
        <f>IF($K661="","",$M661+ROW()/10000000)</f>
        <v/>
      </c>
      <c r="M661">
        <f>IF($K661="","",SUMIF($C$3:$C$1002,$K661,$G$3:$G$1002))</f>
        <v/>
      </c>
      <c r="N661">
        <f>IF($K661="","",COUNTIF($C$3:$C$1002,$K661))</f>
        <v/>
      </c>
      <c r="P661">
        <f>IF($A661="","",$A661*100000+ROW())</f>
        <v/>
      </c>
    </row>
    <row r="662" ht="18" customHeight="1">
      <c r="A662" s="60" t="n"/>
      <c r="B662" s="61">
        <f>IF(A662="","",TEXT(A662,"mmm yyyy"))</f>
        <v/>
      </c>
      <c r="C662" s="62" t="n"/>
      <c r="D662" s="62" t="n"/>
      <c r="E662" s="62" t="n"/>
      <c r="F662" s="62" t="n"/>
      <c r="G662" s="63" t="n"/>
      <c r="H662" s="62" t="n"/>
      <c r="K662">
        <f>IF($C662="","",IF(COUNTIF($C$3:$C662,$C662)=1,$C662,""))</f>
        <v/>
      </c>
      <c r="L662">
        <f>IF($K662="","",$M662+ROW()/10000000)</f>
        <v/>
      </c>
      <c r="M662">
        <f>IF($K662="","",SUMIF($C$3:$C$1002,$K662,$G$3:$G$1002))</f>
        <v/>
      </c>
      <c r="N662">
        <f>IF($K662="","",COUNTIF($C$3:$C$1002,$K662))</f>
        <v/>
      </c>
      <c r="P662">
        <f>IF($A662="","",$A662*100000+ROW())</f>
        <v/>
      </c>
    </row>
    <row r="663" ht="18" customHeight="1">
      <c r="A663" s="60" t="n"/>
      <c r="B663" s="61">
        <f>IF(A663="","",TEXT(A663,"mmm yyyy"))</f>
        <v/>
      </c>
      <c r="C663" s="62" t="n"/>
      <c r="D663" s="62" t="n"/>
      <c r="E663" s="62" t="n"/>
      <c r="F663" s="62" t="n"/>
      <c r="G663" s="63" t="n"/>
      <c r="H663" s="62" t="n"/>
      <c r="K663">
        <f>IF($C663="","",IF(COUNTIF($C$3:$C663,$C663)=1,$C663,""))</f>
        <v/>
      </c>
      <c r="L663">
        <f>IF($K663="","",$M663+ROW()/10000000)</f>
        <v/>
      </c>
      <c r="M663">
        <f>IF($K663="","",SUMIF($C$3:$C$1002,$K663,$G$3:$G$1002))</f>
        <v/>
      </c>
      <c r="N663">
        <f>IF($K663="","",COUNTIF($C$3:$C$1002,$K663))</f>
        <v/>
      </c>
      <c r="P663">
        <f>IF($A663="","",$A663*100000+ROW())</f>
        <v/>
      </c>
    </row>
    <row r="664" ht="18" customHeight="1">
      <c r="A664" s="60" t="n"/>
      <c r="B664" s="61">
        <f>IF(A664="","",TEXT(A664,"mmm yyyy"))</f>
        <v/>
      </c>
      <c r="C664" s="62" t="n"/>
      <c r="D664" s="62" t="n"/>
      <c r="E664" s="62" t="n"/>
      <c r="F664" s="62" t="n"/>
      <c r="G664" s="63" t="n"/>
      <c r="H664" s="62" t="n"/>
      <c r="K664">
        <f>IF($C664="","",IF(COUNTIF($C$3:$C664,$C664)=1,$C664,""))</f>
        <v/>
      </c>
      <c r="L664">
        <f>IF($K664="","",$M664+ROW()/10000000)</f>
        <v/>
      </c>
      <c r="M664">
        <f>IF($K664="","",SUMIF($C$3:$C$1002,$K664,$G$3:$G$1002))</f>
        <v/>
      </c>
      <c r="N664">
        <f>IF($K664="","",COUNTIF($C$3:$C$1002,$K664))</f>
        <v/>
      </c>
      <c r="P664">
        <f>IF($A664="","",$A664*100000+ROW())</f>
        <v/>
      </c>
    </row>
    <row r="665" ht="18" customHeight="1">
      <c r="A665" s="60" t="n"/>
      <c r="B665" s="61">
        <f>IF(A665="","",TEXT(A665,"mmm yyyy"))</f>
        <v/>
      </c>
      <c r="C665" s="62" t="n"/>
      <c r="D665" s="62" t="n"/>
      <c r="E665" s="62" t="n"/>
      <c r="F665" s="62" t="n"/>
      <c r="G665" s="63" t="n"/>
      <c r="H665" s="62" t="n"/>
      <c r="K665">
        <f>IF($C665="","",IF(COUNTIF($C$3:$C665,$C665)=1,$C665,""))</f>
        <v/>
      </c>
      <c r="L665">
        <f>IF($K665="","",$M665+ROW()/10000000)</f>
        <v/>
      </c>
      <c r="M665">
        <f>IF($K665="","",SUMIF($C$3:$C$1002,$K665,$G$3:$G$1002))</f>
        <v/>
      </c>
      <c r="N665">
        <f>IF($K665="","",COUNTIF($C$3:$C$1002,$K665))</f>
        <v/>
      </c>
      <c r="P665">
        <f>IF($A665="","",$A665*100000+ROW())</f>
        <v/>
      </c>
    </row>
    <row r="666" ht="18" customHeight="1">
      <c r="A666" s="60" t="n"/>
      <c r="B666" s="61">
        <f>IF(A666="","",TEXT(A666,"mmm yyyy"))</f>
        <v/>
      </c>
      <c r="C666" s="62" t="n"/>
      <c r="D666" s="62" t="n"/>
      <c r="E666" s="62" t="n"/>
      <c r="F666" s="62" t="n"/>
      <c r="G666" s="63" t="n"/>
      <c r="H666" s="62" t="n"/>
      <c r="K666">
        <f>IF($C666="","",IF(COUNTIF($C$3:$C666,$C666)=1,$C666,""))</f>
        <v/>
      </c>
      <c r="L666">
        <f>IF($K666="","",$M666+ROW()/10000000)</f>
        <v/>
      </c>
      <c r="M666">
        <f>IF($K666="","",SUMIF($C$3:$C$1002,$K666,$G$3:$G$1002))</f>
        <v/>
      </c>
      <c r="N666">
        <f>IF($K666="","",COUNTIF($C$3:$C$1002,$K666))</f>
        <v/>
      </c>
      <c r="P666">
        <f>IF($A666="","",$A666*100000+ROW())</f>
        <v/>
      </c>
    </row>
    <row r="667" ht="18" customHeight="1">
      <c r="A667" s="60" t="n"/>
      <c r="B667" s="61">
        <f>IF(A667="","",TEXT(A667,"mmm yyyy"))</f>
        <v/>
      </c>
      <c r="C667" s="62" t="n"/>
      <c r="D667" s="62" t="n"/>
      <c r="E667" s="62" t="n"/>
      <c r="F667" s="62" t="n"/>
      <c r="G667" s="63" t="n"/>
      <c r="H667" s="62" t="n"/>
      <c r="K667">
        <f>IF($C667="","",IF(COUNTIF($C$3:$C667,$C667)=1,$C667,""))</f>
        <v/>
      </c>
      <c r="L667">
        <f>IF($K667="","",$M667+ROW()/10000000)</f>
        <v/>
      </c>
      <c r="M667">
        <f>IF($K667="","",SUMIF($C$3:$C$1002,$K667,$G$3:$G$1002))</f>
        <v/>
      </c>
      <c r="N667">
        <f>IF($K667="","",COUNTIF($C$3:$C$1002,$K667))</f>
        <v/>
      </c>
      <c r="P667">
        <f>IF($A667="","",$A667*100000+ROW())</f>
        <v/>
      </c>
    </row>
    <row r="668" ht="18" customHeight="1">
      <c r="A668" s="60" t="n"/>
      <c r="B668" s="61">
        <f>IF(A668="","",TEXT(A668,"mmm yyyy"))</f>
        <v/>
      </c>
      <c r="C668" s="62" t="n"/>
      <c r="D668" s="62" t="n"/>
      <c r="E668" s="62" t="n"/>
      <c r="F668" s="62" t="n"/>
      <c r="G668" s="63" t="n"/>
      <c r="H668" s="62" t="n"/>
      <c r="K668">
        <f>IF($C668="","",IF(COUNTIF($C$3:$C668,$C668)=1,$C668,""))</f>
        <v/>
      </c>
      <c r="L668">
        <f>IF($K668="","",$M668+ROW()/10000000)</f>
        <v/>
      </c>
      <c r="M668">
        <f>IF($K668="","",SUMIF($C$3:$C$1002,$K668,$G$3:$G$1002))</f>
        <v/>
      </c>
      <c r="N668">
        <f>IF($K668="","",COUNTIF($C$3:$C$1002,$K668))</f>
        <v/>
      </c>
      <c r="P668">
        <f>IF($A668="","",$A668*100000+ROW())</f>
        <v/>
      </c>
    </row>
    <row r="669" ht="18" customHeight="1">
      <c r="A669" s="60" t="n"/>
      <c r="B669" s="61">
        <f>IF(A669="","",TEXT(A669,"mmm yyyy"))</f>
        <v/>
      </c>
      <c r="C669" s="62" t="n"/>
      <c r="D669" s="62" t="n"/>
      <c r="E669" s="62" t="n"/>
      <c r="F669" s="62" t="n"/>
      <c r="G669" s="63" t="n"/>
      <c r="H669" s="62" t="n"/>
      <c r="K669">
        <f>IF($C669="","",IF(COUNTIF($C$3:$C669,$C669)=1,$C669,""))</f>
        <v/>
      </c>
      <c r="L669">
        <f>IF($K669="","",$M669+ROW()/10000000)</f>
        <v/>
      </c>
      <c r="M669">
        <f>IF($K669="","",SUMIF($C$3:$C$1002,$K669,$G$3:$G$1002))</f>
        <v/>
      </c>
      <c r="N669">
        <f>IF($K669="","",COUNTIF($C$3:$C$1002,$K669))</f>
        <v/>
      </c>
      <c r="P669">
        <f>IF($A669="","",$A669*100000+ROW())</f>
        <v/>
      </c>
    </row>
    <row r="670" ht="18" customHeight="1">
      <c r="A670" s="60" t="n"/>
      <c r="B670" s="61">
        <f>IF(A670="","",TEXT(A670,"mmm yyyy"))</f>
        <v/>
      </c>
      <c r="C670" s="62" t="n"/>
      <c r="D670" s="62" t="n"/>
      <c r="E670" s="62" t="n"/>
      <c r="F670" s="62" t="n"/>
      <c r="G670" s="63" t="n"/>
      <c r="H670" s="62" t="n"/>
      <c r="K670">
        <f>IF($C670="","",IF(COUNTIF($C$3:$C670,$C670)=1,$C670,""))</f>
        <v/>
      </c>
      <c r="L670">
        <f>IF($K670="","",$M670+ROW()/10000000)</f>
        <v/>
      </c>
      <c r="M670">
        <f>IF($K670="","",SUMIF($C$3:$C$1002,$K670,$G$3:$G$1002))</f>
        <v/>
      </c>
      <c r="N670">
        <f>IF($K670="","",COUNTIF($C$3:$C$1002,$K670))</f>
        <v/>
      </c>
      <c r="P670">
        <f>IF($A670="","",$A670*100000+ROW())</f>
        <v/>
      </c>
    </row>
    <row r="671" ht="18" customHeight="1">
      <c r="A671" s="60" t="n"/>
      <c r="B671" s="61">
        <f>IF(A671="","",TEXT(A671,"mmm yyyy"))</f>
        <v/>
      </c>
      <c r="C671" s="62" t="n"/>
      <c r="D671" s="62" t="n"/>
      <c r="E671" s="62" t="n"/>
      <c r="F671" s="62" t="n"/>
      <c r="G671" s="63" t="n"/>
      <c r="H671" s="62" t="n"/>
      <c r="K671">
        <f>IF($C671="","",IF(COUNTIF($C$3:$C671,$C671)=1,$C671,""))</f>
        <v/>
      </c>
      <c r="L671">
        <f>IF($K671="","",$M671+ROW()/10000000)</f>
        <v/>
      </c>
      <c r="M671">
        <f>IF($K671="","",SUMIF($C$3:$C$1002,$K671,$G$3:$G$1002))</f>
        <v/>
      </c>
      <c r="N671">
        <f>IF($K671="","",COUNTIF($C$3:$C$1002,$K671))</f>
        <v/>
      </c>
      <c r="P671">
        <f>IF($A671="","",$A671*100000+ROW())</f>
        <v/>
      </c>
    </row>
    <row r="672" ht="18" customHeight="1">
      <c r="A672" s="60" t="n"/>
      <c r="B672" s="61">
        <f>IF(A672="","",TEXT(A672,"mmm yyyy"))</f>
        <v/>
      </c>
      <c r="C672" s="62" t="n"/>
      <c r="D672" s="62" t="n"/>
      <c r="E672" s="62" t="n"/>
      <c r="F672" s="62" t="n"/>
      <c r="G672" s="63" t="n"/>
      <c r="H672" s="62" t="n"/>
      <c r="K672">
        <f>IF($C672="","",IF(COUNTIF($C$3:$C672,$C672)=1,$C672,""))</f>
        <v/>
      </c>
      <c r="L672">
        <f>IF($K672="","",$M672+ROW()/10000000)</f>
        <v/>
      </c>
      <c r="M672">
        <f>IF($K672="","",SUMIF($C$3:$C$1002,$K672,$G$3:$G$1002))</f>
        <v/>
      </c>
      <c r="N672">
        <f>IF($K672="","",COUNTIF($C$3:$C$1002,$K672))</f>
        <v/>
      </c>
      <c r="P672">
        <f>IF($A672="","",$A672*100000+ROW())</f>
        <v/>
      </c>
    </row>
    <row r="673" ht="18" customHeight="1">
      <c r="A673" s="60" t="n"/>
      <c r="B673" s="61">
        <f>IF(A673="","",TEXT(A673,"mmm yyyy"))</f>
        <v/>
      </c>
      <c r="C673" s="62" t="n"/>
      <c r="D673" s="62" t="n"/>
      <c r="E673" s="62" t="n"/>
      <c r="F673" s="62" t="n"/>
      <c r="G673" s="63" t="n"/>
      <c r="H673" s="62" t="n"/>
      <c r="K673">
        <f>IF($C673="","",IF(COUNTIF($C$3:$C673,$C673)=1,$C673,""))</f>
        <v/>
      </c>
      <c r="L673">
        <f>IF($K673="","",$M673+ROW()/10000000)</f>
        <v/>
      </c>
      <c r="M673">
        <f>IF($K673="","",SUMIF($C$3:$C$1002,$K673,$G$3:$G$1002))</f>
        <v/>
      </c>
      <c r="N673">
        <f>IF($K673="","",COUNTIF($C$3:$C$1002,$K673))</f>
        <v/>
      </c>
      <c r="P673">
        <f>IF($A673="","",$A673*100000+ROW())</f>
        <v/>
      </c>
    </row>
    <row r="674" ht="18" customHeight="1">
      <c r="A674" s="60" t="n"/>
      <c r="B674" s="61">
        <f>IF(A674="","",TEXT(A674,"mmm yyyy"))</f>
        <v/>
      </c>
      <c r="C674" s="62" t="n"/>
      <c r="D674" s="62" t="n"/>
      <c r="E674" s="62" t="n"/>
      <c r="F674" s="62" t="n"/>
      <c r="G674" s="63" t="n"/>
      <c r="H674" s="62" t="n"/>
      <c r="K674">
        <f>IF($C674="","",IF(COUNTIF($C$3:$C674,$C674)=1,$C674,""))</f>
        <v/>
      </c>
      <c r="L674">
        <f>IF($K674="","",$M674+ROW()/10000000)</f>
        <v/>
      </c>
      <c r="M674">
        <f>IF($K674="","",SUMIF($C$3:$C$1002,$K674,$G$3:$G$1002))</f>
        <v/>
      </c>
      <c r="N674">
        <f>IF($K674="","",COUNTIF($C$3:$C$1002,$K674))</f>
        <v/>
      </c>
      <c r="P674">
        <f>IF($A674="","",$A674*100000+ROW())</f>
        <v/>
      </c>
    </row>
    <row r="675" ht="18" customHeight="1">
      <c r="A675" s="60" t="n"/>
      <c r="B675" s="61">
        <f>IF(A675="","",TEXT(A675,"mmm yyyy"))</f>
        <v/>
      </c>
      <c r="C675" s="62" t="n"/>
      <c r="D675" s="62" t="n"/>
      <c r="E675" s="62" t="n"/>
      <c r="F675" s="62" t="n"/>
      <c r="G675" s="63" t="n"/>
      <c r="H675" s="62" t="n"/>
      <c r="K675">
        <f>IF($C675="","",IF(COUNTIF($C$3:$C675,$C675)=1,$C675,""))</f>
        <v/>
      </c>
      <c r="L675">
        <f>IF($K675="","",$M675+ROW()/10000000)</f>
        <v/>
      </c>
      <c r="M675">
        <f>IF($K675="","",SUMIF($C$3:$C$1002,$K675,$G$3:$G$1002))</f>
        <v/>
      </c>
      <c r="N675">
        <f>IF($K675="","",COUNTIF($C$3:$C$1002,$K675))</f>
        <v/>
      </c>
      <c r="P675">
        <f>IF($A675="","",$A675*100000+ROW())</f>
        <v/>
      </c>
    </row>
    <row r="676" ht="18" customHeight="1">
      <c r="A676" s="60" t="n"/>
      <c r="B676" s="61">
        <f>IF(A676="","",TEXT(A676,"mmm yyyy"))</f>
        <v/>
      </c>
      <c r="C676" s="62" t="n"/>
      <c r="D676" s="62" t="n"/>
      <c r="E676" s="62" t="n"/>
      <c r="F676" s="62" t="n"/>
      <c r="G676" s="63" t="n"/>
      <c r="H676" s="62" t="n"/>
      <c r="K676">
        <f>IF($C676="","",IF(COUNTIF($C$3:$C676,$C676)=1,$C676,""))</f>
        <v/>
      </c>
      <c r="L676">
        <f>IF($K676="","",$M676+ROW()/10000000)</f>
        <v/>
      </c>
      <c r="M676">
        <f>IF($K676="","",SUMIF($C$3:$C$1002,$K676,$G$3:$G$1002))</f>
        <v/>
      </c>
      <c r="N676">
        <f>IF($K676="","",COUNTIF($C$3:$C$1002,$K676))</f>
        <v/>
      </c>
      <c r="P676">
        <f>IF($A676="","",$A676*100000+ROW())</f>
        <v/>
      </c>
    </row>
    <row r="677" ht="18" customHeight="1">
      <c r="A677" s="60" t="n"/>
      <c r="B677" s="61">
        <f>IF(A677="","",TEXT(A677,"mmm yyyy"))</f>
        <v/>
      </c>
      <c r="C677" s="62" t="n"/>
      <c r="D677" s="62" t="n"/>
      <c r="E677" s="62" t="n"/>
      <c r="F677" s="62" t="n"/>
      <c r="G677" s="63" t="n"/>
      <c r="H677" s="62" t="n"/>
      <c r="K677">
        <f>IF($C677="","",IF(COUNTIF($C$3:$C677,$C677)=1,$C677,""))</f>
        <v/>
      </c>
      <c r="L677">
        <f>IF($K677="","",$M677+ROW()/10000000)</f>
        <v/>
      </c>
      <c r="M677">
        <f>IF($K677="","",SUMIF($C$3:$C$1002,$K677,$G$3:$G$1002))</f>
        <v/>
      </c>
      <c r="N677">
        <f>IF($K677="","",COUNTIF($C$3:$C$1002,$K677))</f>
        <v/>
      </c>
      <c r="P677">
        <f>IF($A677="","",$A677*100000+ROW())</f>
        <v/>
      </c>
    </row>
    <row r="678" ht="18" customHeight="1">
      <c r="A678" s="60" t="n"/>
      <c r="B678" s="61">
        <f>IF(A678="","",TEXT(A678,"mmm yyyy"))</f>
        <v/>
      </c>
      <c r="C678" s="62" t="n"/>
      <c r="D678" s="62" t="n"/>
      <c r="E678" s="62" t="n"/>
      <c r="F678" s="62" t="n"/>
      <c r="G678" s="63" t="n"/>
      <c r="H678" s="62" t="n"/>
      <c r="K678">
        <f>IF($C678="","",IF(COUNTIF($C$3:$C678,$C678)=1,$C678,""))</f>
        <v/>
      </c>
      <c r="L678">
        <f>IF($K678="","",$M678+ROW()/10000000)</f>
        <v/>
      </c>
      <c r="M678">
        <f>IF($K678="","",SUMIF($C$3:$C$1002,$K678,$G$3:$G$1002))</f>
        <v/>
      </c>
      <c r="N678">
        <f>IF($K678="","",COUNTIF($C$3:$C$1002,$K678))</f>
        <v/>
      </c>
      <c r="P678">
        <f>IF($A678="","",$A678*100000+ROW())</f>
        <v/>
      </c>
    </row>
    <row r="679" ht="18" customHeight="1">
      <c r="A679" s="60" t="n"/>
      <c r="B679" s="61">
        <f>IF(A679="","",TEXT(A679,"mmm yyyy"))</f>
        <v/>
      </c>
      <c r="C679" s="62" t="n"/>
      <c r="D679" s="62" t="n"/>
      <c r="E679" s="62" t="n"/>
      <c r="F679" s="62" t="n"/>
      <c r="G679" s="63" t="n"/>
      <c r="H679" s="62" t="n"/>
      <c r="K679">
        <f>IF($C679="","",IF(COUNTIF($C$3:$C679,$C679)=1,$C679,""))</f>
        <v/>
      </c>
      <c r="L679">
        <f>IF($K679="","",$M679+ROW()/10000000)</f>
        <v/>
      </c>
      <c r="M679">
        <f>IF($K679="","",SUMIF($C$3:$C$1002,$K679,$G$3:$G$1002))</f>
        <v/>
      </c>
      <c r="N679">
        <f>IF($K679="","",COUNTIF($C$3:$C$1002,$K679))</f>
        <v/>
      </c>
      <c r="P679">
        <f>IF($A679="","",$A679*100000+ROW())</f>
        <v/>
      </c>
    </row>
    <row r="680" ht="18" customHeight="1">
      <c r="A680" s="60" t="n"/>
      <c r="B680" s="61">
        <f>IF(A680="","",TEXT(A680,"mmm yyyy"))</f>
        <v/>
      </c>
      <c r="C680" s="62" t="n"/>
      <c r="D680" s="62" t="n"/>
      <c r="E680" s="62" t="n"/>
      <c r="F680" s="62" t="n"/>
      <c r="G680" s="63" t="n"/>
      <c r="H680" s="62" t="n"/>
      <c r="K680">
        <f>IF($C680="","",IF(COUNTIF($C$3:$C680,$C680)=1,$C680,""))</f>
        <v/>
      </c>
      <c r="L680">
        <f>IF($K680="","",$M680+ROW()/10000000)</f>
        <v/>
      </c>
      <c r="M680">
        <f>IF($K680="","",SUMIF($C$3:$C$1002,$K680,$G$3:$G$1002))</f>
        <v/>
      </c>
      <c r="N680">
        <f>IF($K680="","",COUNTIF($C$3:$C$1002,$K680))</f>
        <v/>
      </c>
      <c r="P680">
        <f>IF($A680="","",$A680*100000+ROW())</f>
        <v/>
      </c>
    </row>
    <row r="681" ht="18" customHeight="1">
      <c r="A681" s="60" t="n"/>
      <c r="B681" s="61">
        <f>IF(A681="","",TEXT(A681,"mmm yyyy"))</f>
        <v/>
      </c>
      <c r="C681" s="62" t="n"/>
      <c r="D681" s="62" t="n"/>
      <c r="E681" s="62" t="n"/>
      <c r="F681" s="62" t="n"/>
      <c r="G681" s="63" t="n"/>
      <c r="H681" s="62" t="n"/>
      <c r="K681">
        <f>IF($C681="","",IF(COUNTIF($C$3:$C681,$C681)=1,$C681,""))</f>
        <v/>
      </c>
      <c r="L681">
        <f>IF($K681="","",$M681+ROW()/10000000)</f>
        <v/>
      </c>
      <c r="M681">
        <f>IF($K681="","",SUMIF($C$3:$C$1002,$K681,$G$3:$G$1002))</f>
        <v/>
      </c>
      <c r="N681">
        <f>IF($K681="","",COUNTIF($C$3:$C$1002,$K681))</f>
        <v/>
      </c>
      <c r="P681">
        <f>IF($A681="","",$A681*100000+ROW())</f>
        <v/>
      </c>
    </row>
    <row r="682" ht="18" customHeight="1">
      <c r="A682" s="60" t="n"/>
      <c r="B682" s="61">
        <f>IF(A682="","",TEXT(A682,"mmm yyyy"))</f>
        <v/>
      </c>
      <c r="C682" s="62" t="n"/>
      <c r="D682" s="62" t="n"/>
      <c r="E682" s="62" t="n"/>
      <c r="F682" s="62" t="n"/>
      <c r="G682" s="63" t="n"/>
      <c r="H682" s="62" t="n"/>
      <c r="K682">
        <f>IF($C682="","",IF(COUNTIF($C$3:$C682,$C682)=1,$C682,""))</f>
        <v/>
      </c>
      <c r="L682">
        <f>IF($K682="","",$M682+ROW()/10000000)</f>
        <v/>
      </c>
      <c r="M682">
        <f>IF($K682="","",SUMIF($C$3:$C$1002,$K682,$G$3:$G$1002))</f>
        <v/>
      </c>
      <c r="N682">
        <f>IF($K682="","",COUNTIF($C$3:$C$1002,$K682))</f>
        <v/>
      </c>
      <c r="P682">
        <f>IF($A682="","",$A682*100000+ROW())</f>
        <v/>
      </c>
    </row>
    <row r="683" ht="18" customHeight="1">
      <c r="A683" s="60" t="n"/>
      <c r="B683" s="61">
        <f>IF(A683="","",TEXT(A683,"mmm yyyy"))</f>
        <v/>
      </c>
      <c r="C683" s="62" t="n"/>
      <c r="D683" s="62" t="n"/>
      <c r="E683" s="62" t="n"/>
      <c r="F683" s="62" t="n"/>
      <c r="G683" s="63" t="n"/>
      <c r="H683" s="62" t="n"/>
      <c r="K683">
        <f>IF($C683="","",IF(COUNTIF($C$3:$C683,$C683)=1,$C683,""))</f>
        <v/>
      </c>
      <c r="L683">
        <f>IF($K683="","",$M683+ROW()/10000000)</f>
        <v/>
      </c>
      <c r="M683">
        <f>IF($K683="","",SUMIF($C$3:$C$1002,$K683,$G$3:$G$1002))</f>
        <v/>
      </c>
      <c r="N683">
        <f>IF($K683="","",COUNTIF($C$3:$C$1002,$K683))</f>
        <v/>
      </c>
      <c r="P683">
        <f>IF($A683="","",$A683*100000+ROW())</f>
        <v/>
      </c>
    </row>
    <row r="684" ht="18" customHeight="1">
      <c r="A684" s="60" t="n"/>
      <c r="B684" s="61">
        <f>IF(A684="","",TEXT(A684,"mmm yyyy"))</f>
        <v/>
      </c>
      <c r="C684" s="62" t="n"/>
      <c r="D684" s="62" t="n"/>
      <c r="E684" s="62" t="n"/>
      <c r="F684" s="62" t="n"/>
      <c r="G684" s="63" t="n"/>
      <c r="H684" s="62" t="n"/>
      <c r="K684">
        <f>IF($C684="","",IF(COUNTIF($C$3:$C684,$C684)=1,$C684,""))</f>
        <v/>
      </c>
      <c r="L684">
        <f>IF($K684="","",$M684+ROW()/10000000)</f>
        <v/>
      </c>
      <c r="M684">
        <f>IF($K684="","",SUMIF($C$3:$C$1002,$K684,$G$3:$G$1002))</f>
        <v/>
      </c>
      <c r="N684">
        <f>IF($K684="","",COUNTIF($C$3:$C$1002,$K684))</f>
        <v/>
      </c>
      <c r="P684">
        <f>IF($A684="","",$A684*100000+ROW())</f>
        <v/>
      </c>
    </row>
    <row r="685" ht="18" customHeight="1">
      <c r="A685" s="60" t="n"/>
      <c r="B685" s="61">
        <f>IF(A685="","",TEXT(A685,"mmm yyyy"))</f>
        <v/>
      </c>
      <c r="C685" s="62" t="n"/>
      <c r="D685" s="62" t="n"/>
      <c r="E685" s="62" t="n"/>
      <c r="F685" s="62" t="n"/>
      <c r="G685" s="63" t="n"/>
      <c r="H685" s="62" t="n"/>
      <c r="K685">
        <f>IF($C685="","",IF(COUNTIF($C$3:$C685,$C685)=1,$C685,""))</f>
        <v/>
      </c>
      <c r="L685">
        <f>IF($K685="","",$M685+ROW()/10000000)</f>
        <v/>
      </c>
      <c r="M685">
        <f>IF($K685="","",SUMIF($C$3:$C$1002,$K685,$G$3:$G$1002))</f>
        <v/>
      </c>
      <c r="N685">
        <f>IF($K685="","",COUNTIF($C$3:$C$1002,$K685))</f>
        <v/>
      </c>
      <c r="P685">
        <f>IF($A685="","",$A685*100000+ROW())</f>
        <v/>
      </c>
    </row>
    <row r="686" ht="18" customHeight="1">
      <c r="A686" s="60" t="n"/>
      <c r="B686" s="61">
        <f>IF(A686="","",TEXT(A686,"mmm yyyy"))</f>
        <v/>
      </c>
      <c r="C686" s="62" t="n"/>
      <c r="D686" s="62" t="n"/>
      <c r="E686" s="62" t="n"/>
      <c r="F686" s="62" t="n"/>
      <c r="G686" s="63" t="n"/>
      <c r="H686" s="62" t="n"/>
      <c r="K686">
        <f>IF($C686="","",IF(COUNTIF($C$3:$C686,$C686)=1,$C686,""))</f>
        <v/>
      </c>
      <c r="L686">
        <f>IF($K686="","",$M686+ROW()/10000000)</f>
        <v/>
      </c>
      <c r="M686">
        <f>IF($K686="","",SUMIF($C$3:$C$1002,$K686,$G$3:$G$1002))</f>
        <v/>
      </c>
      <c r="N686">
        <f>IF($K686="","",COUNTIF($C$3:$C$1002,$K686))</f>
        <v/>
      </c>
      <c r="P686">
        <f>IF($A686="","",$A686*100000+ROW())</f>
        <v/>
      </c>
    </row>
    <row r="687" ht="18" customHeight="1">
      <c r="A687" s="60" t="n"/>
      <c r="B687" s="61">
        <f>IF(A687="","",TEXT(A687,"mmm yyyy"))</f>
        <v/>
      </c>
      <c r="C687" s="62" t="n"/>
      <c r="D687" s="62" t="n"/>
      <c r="E687" s="62" t="n"/>
      <c r="F687" s="62" t="n"/>
      <c r="G687" s="63" t="n"/>
      <c r="H687" s="62" t="n"/>
      <c r="K687">
        <f>IF($C687="","",IF(COUNTIF($C$3:$C687,$C687)=1,$C687,""))</f>
        <v/>
      </c>
      <c r="L687">
        <f>IF($K687="","",$M687+ROW()/10000000)</f>
        <v/>
      </c>
      <c r="M687">
        <f>IF($K687="","",SUMIF($C$3:$C$1002,$K687,$G$3:$G$1002))</f>
        <v/>
      </c>
      <c r="N687">
        <f>IF($K687="","",COUNTIF($C$3:$C$1002,$K687))</f>
        <v/>
      </c>
      <c r="P687">
        <f>IF($A687="","",$A687*100000+ROW())</f>
        <v/>
      </c>
    </row>
    <row r="688" ht="18" customHeight="1">
      <c r="A688" s="60" t="n"/>
      <c r="B688" s="61">
        <f>IF(A688="","",TEXT(A688,"mmm yyyy"))</f>
        <v/>
      </c>
      <c r="C688" s="62" t="n"/>
      <c r="D688" s="62" t="n"/>
      <c r="E688" s="62" t="n"/>
      <c r="F688" s="62" t="n"/>
      <c r="G688" s="63" t="n"/>
      <c r="H688" s="62" t="n"/>
      <c r="K688">
        <f>IF($C688="","",IF(COUNTIF($C$3:$C688,$C688)=1,$C688,""))</f>
        <v/>
      </c>
      <c r="L688">
        <f>IF($K688="","",$M688+ROW()/10000000)</f>
        <v/>
      </c>
      <c r="M688">
        <f>IF($K688="","",SUMIF($C$3:$C$1002,$K688,$G$3:$G$1002))</f>
        <v/>
      </c>
      <c r="N688">
        <f>IF($K688="","",COUNTIF($C$3:$C$1002,$K688))</f>
        <v/>
      </c>
      <c r="P688">
        <f>IF($A688="","",$A688*100000+ROW())</f>
        <v/>
      </c>
    </row>
    <row r="689" ht="18" customHeight="1">
      <c r="A689" s="60" t="n"/>
      <c r="B689" s="61">
        <f>IF(A689="","",TEXT(A689,"mmm yyyy"))</f>
        <v/>
      </c>
      <c r="C689" s="62" t="n"/>
      <c r="D689" s="62" t="n"/>
      <c r="E689" s="62" t="n"/>
      <c r="F689" s="62" t="n"/>
      <c r="G689" s="63" t="n"/>
      <c r="H689" s="62" t="n"/>
      <c r="K689">
        <f>IF($C689="","",IF(COUNTIF($C$3:$C689,$C689)=1,$C689,""))</f>
        <v/>
      </c>
      <c r="L689">
        <f>IF($K689="","",$M689+ROW()/10000000)</f>
        <v/>
      </c>
      <c r="M689">
        <f>IF($K689="","",SUMIF($C$3:$C$1002,$K689,$G$3:$G$1002))</f>
        <v/>
      </c>
      <c r="N689">
        <f>IF($K689="","",COUNTIF($C$3:$C$1002,$K689))</f>
        <v/>
      </c>
      <c r="P689">
        <f>IF($A689="","",$A689*100000+ROW())</f>
        <v/>
      </c>
    </row>
    <row r="690" ht="18" customHeight="1">
      <c r="A690" s="60" t="n"/>
      <c r="B690" s="61">
        <f>IF(A690="","",TEXT(A690,"mmm yyyy"))</f>
        <v/>
      </c>
      <c r="C690" s="62" t="n"/>
      <c r="D690" s="62" t="n"/>
      <c r="E690" s="62" t="n"/>
      <c r="F690" s="62" t="n"/>
      <c r="G690" s="63" t="n"/>
      <c r="H690" s="62" t="n"/>
      <c r="K690">
        <f>IF($C690="","",IF(COUNTIF($C$3:$C690,$C690)=1,$C690,""))</f>
        <v/>
      </c>
      <c r="L690">
        <f>IF($K690="","",$M690+ROW()/10000000)</f>
        <v/>
      </c>
      <c r="M690">
        <f>IF($K690="","",SUMIF($C$3:$C$1002,$K690,$G$3:$G$1002))</f>
        <v/>
      </c>
      <c r="N690">
        <f>IF($K690="","",COUNTIF($C$3:$C$1002,$K690))</f>
        <v/>
      </c>
      <c r="P690">
        <f>IF($A690="","",$A690*100000+ROW())</f>
        <v/>
      </c>
    </row>
    <row r="691" ht="18" customHeight="1">
      <c r="A691" s="60" t="n"/>
      <c r="B691" s="61">
        <f>IF(A691="","",TEXT(A691,"mmm yyyy"))</f>
        <v/>
      </c>
      <c r="C691" s="62" t="n"/>
      <c r="D691" s="62" t="n"/>
      <c r="E691" s="62" t="n"/>
      <c r="F691" s="62" t="n"/>
      <c r="G691" s="63" t="n"/>
      <c r="H691" s="62" t="n"/>
      <c r="K691">
        <f>IF($C691="","",IF(COUNTIF($C$3:$C691,$C691)=1,$C691,""))</f>
        <v/>
      </c>
      <c r="L691">
        <f>IF($K691="","",$M691+ROW()/10000000)</f>
        <v/>
      </c>
      <c r="M691">
        <f>IF($K691="","",SUMIF($C$3:$C$1002,$K691,$G$3:$G$1002))</f>
        <v/>
      </c>
      <c r="N691">
        <f>IF($K691="","",COUNTIF($C$3:$C$1002,$K691))</f>
        <v/>
      </c>
      <c r="P691">
        <f>IF($A691="","",$A691*100000+ROW())</f>
        <v/>
      </c>
    </row>
    <row r="692" ht="18" customHeight="1">
      <c r="A692" s="60" t="n"/>
      <c r="B692" s="61">
        <f>IF(A692="","",TEXT(A692,"mmm yyyy"))</f>
        <v/>
      </c>
      <c r="C692" s="62" t="n"/>
      <c r="D692" s="62" t="n"/>
      <c r="E692" s="62" t="n"/>
      <c r="F692" s="62" t="n"/>
      <c r="G692" s="63" t="n"/>
      <c r="H692" s="62" t="n"/>
      <c r="K692">
        <f>IF($C692="","",IF(COUNTIF($C$3:$C692,$C692)=1,$C692,""))</f>
        <v/>
      </c>
      <c r="L692">
        <f>IF($K692="","",$M692+ROW()/10000000)</f>
        <v/>
      </c>
      <c r="M692">
        <f>IF($K692="","",SUMIF($C$3:$C$1002,$K692,$G$3:$G$1002))</f>
        <v/>
      </c>
      <c r="N692">
        <f>IF($K692="","",COUNTIF($C$3:$C$1002,$K692))</f>
        <v/>
      </c>
      <c r="P692">
        <f>IF($A692="","",$A692*100000+ROW())</f>
        <v/>
      </c>
    </row>
    <row r="693" ht="18" customHeight="1">
      <c r="A693" s="60" t="n"/>
      <c r="B693" s="61">
        <f>IF(A693="","",TEXT(A693,"mmm yyyy"))</f>
        <v/>
      </c>
      <c r="C693" s="62" t="n"/>
      <c r="D693" s="62" t="n"/>
      <c r="E693" s="62" t="n"/>
      <c r="F693" s="62" t="n"/>
      <c r="G693" s="63" t="n"/>
      <c r="H693" s="62" t="n"/>
      <c r="K693">
        <f>IF($C693="","",IF(COUNTIF($C$3:$C693,$C693)=1,$C693,""))</f>
        <v/>
      </c>
      <c r="L693">
        <f>IF($K693="","",$M693+ROW()/10000000)</f>
        <v/>
      </c>
      <c r="M693">
        <f>IF($K693="","",SUMIF($C$3:$C$1002,$K693,$G$3:$G$1002))</f>
        <v/>
      </c>
      <c r="N693">
        <f>IF($K693="","",COUNTIF($C$3:$C$1002,$K693))</f>
        <v/>
      </c>
      <c r="P693">
        <f>IF($A693="","",$A693*100000+ROW())</f>
        <v/>
      </c>
    </row>
    <row r="694" ht="18" customHeight="1">
      <c r="A694" s="60" t="n"/>
      <c r="B694" s="61">
        <f>IF(A694="","",TEXT(A694,"mmm yyyy"))</f>
        <v/>
      </c>
      <c r="C694" s="62" t="n"/>
      <c r="D694" s="62" t="n"/>
      <c r="E694" s="62" t="n"/>
      <c r="F694" s="62" t="n"/>
      <c r="G694" s="63" t="n"/>
      <c r="H694" s="62" t="n"/>
      <c r="K694">
        <f>IF($C694="","",IF(COUNTIF($C$3:$C694,$C694)=1,$C694,""))</f>
        <v/>
      </c>
      <c r="L694">
        <f>IF($K694="","",$M694+ROW()/10000000)</f>
        <v/>
      </c>
      <c r="M694">
        <f>IF($K694="","",SUMIF($C$3:$C$1002,$K694,$G$3:$G$1002))</f>
        <v/>
      </c>
      <c r="N694">
        <f>IF($K694="","",COUNTIF($C$3:$C$1002,$K694))</f>
        <v/>
      </c>
      <c r="P694">
        <f>IF($A694="","",$A694*100000+ROW())</f>
        <v/>
      </c>
    </row>
    <row r="695" ht="18" customHeight="1">
      <c r="A695" s="60" t="n"/>
      <c r="B695" s="61">
        <f>IF(A695="","",TEXT(A695,"mmm yyyy"))</f>
        <v/>
      </c>
      <c r="C695" s="62" t="n"/>
      <c r="D695" s="62" t="n"/>
      <c r="E695" s="62" t="n"/>
      <c r="F695" s="62" t="n"/>
      <c r="G695" s="63" t="n"/>
      <c r="H695" s="62" t="n"/>
      <c r="K695">
        <f>IF($C695="","",IF(COUNTIF($C$3:$C695,$C695)=1,$C695,""))</f>
        <v/>
      </c>
      <c r="L695">
        <f>IF($K695="","",$M695+ROW()/10000000)</f>
        <v/>
      </c>
      <c r="M695">
        <f>IF($K695="","",SUMIF($C$3:$C$1002,$K695,$G$3:$G$1002))</f>
        <v/>
      </c>
      <c r="N695">
        <f>IF($K695="","",COUNTIF($C$3:$C$1002,$K695))</f>
        <v/>
      </c>
      <c r="P695">
        <f>IF($A695="","",$A695*100000+ROW())</f>
        <v/>
      </c>
    </row>
    <row r="696" ht="18" customHeight="1">
      <c r="A696" s="60" t="n"/>
      <c r="B696" s="61">
        <f>IF(A696="","",TEXT(A696,"mmm yyyy"))</f>
        <v/>
      </c>
      <c r="C696" s="62" t="n"/>
      <c r="D696" s="62" t="n"/>
      <c r="E696" s="62" t="n"/>
      <c r="F696" s="62" t="n"/>
      <c r="G696" s="63" t="n"/>
      <c r="H696" s="62" t="n"/>
      <c r="K696">
        <f>IF($C696="","",IF(COUNTIF($C$3:$C696,$C696)=1,$C696,""))</f>
        <v/>
      </c>
      <c r="L696">
        <f>IF($K696="","",$M696+ROW()/10000000)</f>
        <v/>
      </c>
      <c r="M696">
        <f>IF($K696="","",SUMIF($C$3:$C$1002,$K696,$G$3:$G$1002))</f>
        <v/>
      </c>
      <c r="N696">
        <f>IF($K696="","",COUNTIF($C$3:$C$1002,$K696))</f>
        <v/>
      </c>
      <c r="P696">
        <f>IF($A696="","",$A696*100000+ROW())</f>
        <v/>
      </c>
    </row>
    <row r="697" ht="18" customHeight="1">
      <c r="A697" s="60" t="n"/>
      <c r="B697" s="61">
        <f>IF(A697="","",TEXT(A697,"mmm yyyy"))</f>
        <v/>
      </c>
      <c r="C697" s="62" t="n"/>
      <c r="D697" s="62" t="n"/>
      <c r="E697" s="62" t="n"/>
      <c r="F697" s="62" t="n"/>
      <c r="G697" s="63" t="n"/>
      <c r="H697" s="62" t="n"/>
      <c r="K697">
        <f>IF($C697="","",IF(COUNTIF($C$3:$C697,$C697)=1,$C697,""))</f>
        <v/>
      </c>
      <c r="L697">
        <f>IF($K697="","",$M697+ROW()/10000000)</f>
        <v/>
      </c>
      <c r="M697">
        <f>IF($K697="","",SUMIF($C$3:$C$1002,$K697,$G$3:$G$1002))</f>
        <v/>
      </c>
      <c r="N697">
        <f>IF($K697="","",COUNTIF($C$3:$C$1002,$K697))</f>
        <v/>
      </c>
      <c r="P697">
        <f>IF($A697="","",$A697*100000+ROW())</f>
        <v/>
      </c>
    </row>
    <row r="698" ht="18" customHeight="1">
      <c r="A698" s="60" t="n"/>
      <c r="B698" s="61">
        <f>IF(A698="","",TEXT(A698,"mmm yyyy"))</f>
        <v/>
      </c>
      <c r="C698" s="62" t="n"/>
      <c r="D698" s="62" t="n"/>
      <c r="E698" s="62" t="n"/>
      <c r="F698" s="62" t="n"/>
      <c r="G698" s="63" t="n"/>
      <c r="H698" s="62" t="n"/>
      <c r="K698">
        <f>IF($C698="","",IF(COUNTIF($C$3:$C698,$C698)=1,$C698,""))</f>
        <v/>
      </c>
      <c r="L698">
        <f>IF($K698="","",$M698+ROW()/10000000)</f>
        <v/>
      </c>
      <c r="M698">
        <f>IF($K698="","",SUMIF($C$3:$C$1002,$K698,$G$3:$G$1002))</f>
        <v/>
      </c>
      <c r="N698">
        <f>IF($K698="","",COUNTIF($C$3:$C$1002,$K698))</f>
        <v/>
      </c>
      <c r="P698">
        <f>IF($A698="","",$A698*100000+ROW())</f>
        <v/>
      </c>
    </row>
    <row r="699" ht="18" customHeight="1">
      <c r="A699" s="60" t="n"/>
      <c r="B699" s="61">
        <f>IF(A699="","",TEXT(A699,"mmm yyyy"))</f>
        <v/>
      </c>
      <c r="C699" s="62" t="n"/>
      <c r="D699" s="62" t="n"/>
      <c r="E699" s="62" t="n"/>
      <c r="F699" s="62" t="n"/>
      <c r="G699" s="63" t="n"/>
      <c r="H699" s="62" t="n"/>
      <c r="K699">
        <f>IF($C699="","",IF(COUNTIF($C$3:$C699,$C699)=1,$C699,""))</f>
        <v/>
      </c>
      <c r="L699">
        <f>IF($K699="","",$M699+ROW()/10000000)</f>
        <v/>
      </c>
      <c r="M699">
        <f>IF($K699="","",SUMIF($C$3:$C$1002,$K699,$G$3:$G$1002))</f>
        <v/>
      </c>
      <c r="N699">
        <f>IF($K699="","",COUNTIF($C$3:$C$1002,$K699))</f>
        <v/>
      </c>
      <c r="P699">
        <f>IF($A699="","",$A699*100000+ROW())</f>
        <v/>
      </c>
    </row>
    <row r="700" ht="18" customHeight="1">
      <c r="A700" s="60" t="n"/>
      <c r="B700" s="61">
        <f>IF(A700="","",TEXT(A700,"mmm yyyy"))</f>
        <v/>
      </c>
      <c r="C700" s="62" t="n"/>
      <c r="D700" s="62" t="n"/>
      <c r="E700" s="62" t="n"/>
      <c r="F700" s="62" t="n"/>
      <c r="G700" s="63" t="n"/>
      <c r="H700" s="62" t="n"/>
      <c r="K700">
        <f>IF($C700="","",IF(COUNTIF($C$3:$C700,$C700)=1,$C700,""))</f>
        <v/>
      </c>
      <c r="L700">
        <f>IF($K700="","",$M700+ROW()/10000000)</f>
        <v/>
      </c>
      <c r="M700">
        <f>IF($K700="","",SUMIF($C$3:$C$1002,$K700,$G$3:$G$1002))</f>
        <v/>
      </c>
      <c r="N700">
        <f>IF($K700="","",COUNTIF($C$3:$C$1002,$K700))</f>
        <v/>
      </c>
      <c r="P700">
        <f>IF($A700="","",$A700*100000+ROW())</f>
        <v/>
      </c>
    </row>
    <row r="701" ht="18" customHeight="1">
      <c r="A701" s="60" t="n"/>
      <c r="B701" s="61">
        <f>IF(A701="","",TEXT(A701,"mmm yyyy"))</f>
        <v/>
      </c>
      <c r="C701" s="62" t="n"/>
      <c r="D701" s="62" t="n"/>
      <c r="E701" s="62" t="n"/>
      <c r="F701" s="62" t="n"/>
      <c r="G701" s="63" t="n"/>
      <c r="H701" s="62" t="n"/>
      <c r="K701">
        <f>IF($C701="","",IF(COUNTIF($C$3:$C701,$C701)=1,$C701,""))</f>
        <v/>
      </c>
      <c r="L701">
        <f>IF($K701="","",$M701+ROW()/10000000)</f>
        <v/>
      </c>
      <c r="M701">
        <f>IF($K701="","",SUMIF($C$3:$C$1002,$K701,$G$3:$G$1002))</f>
        <v/>
      </c>
      <c r="N701">
        <f>IF($K701="","",COUNTIF($C$3:$C$1002,$K701))</f>
        <v/>
      </c>
      <c r="P701">
        <f>IF($A701="","",$A701*100000+ROW())</f>
        <v/>
      </c>
    </row>
    <row r="702" ht="18" customHeight="1">
      <c r="A702" s="60" t="n"/>
      <c r="B702" s="61">
        <f>IF(A702="","",TEXT(A702,"mmm yyyy"))</f>
        <v/>
      </c>
      <c r="C702" s="62" t="n"/>
      <c r="D702" s="62" t="n"/>
      <c r="E702" s="62" t="n"/>
      <c r="F702" s="62" t="n"/>
      <c r="G702" s="63" t="n"/>
      <c r="H702" s="62" t="n"/>
      <c r="K702">
        <f>IF($C702="","",IF(COUNTIF($C$3:$C702,$C702)=1,$C702,""))</f>
        <v/>
      </c>
      <c r="L702">
        <f>IF($K702="","",$M702+ROW()/10000000)</f>
        <v/>
      </c>
      <c r="M702">
        <f>IF($K702="","",SUMIF($C$3:$C$1002,$K702,$G$3:$G$1002))</f>
        <v/>
      </c>
      <c r="N702">
        <f>IF($K702="","",COUNTIF($C$3:$C$1002,$K702))</f>
        <v/>
      </c>
      <c r="P702">
        <f>IF($A702="","",$A702*100000+ROW())</f>
        <v/>
      </c>
    </row>
    <row r="703" ht="18" customHeight="1">
      <c r="A703" s="60" t="n"/>
      <c r="B703" s="61">
        <f>IF(A703="","",TEXT(A703,"mmm yyyy"))</f>
        <v/>
      </c>
      <c r="C703" s="62" t="n"/>
      <c r="D703" s="62" t="n"/>
      <c r="E703" s="62" t="n"/>
      <c r="F703" s="62" t="n"/>
      <c r="G703" s="63" t="n"/>
      <c r="H703" s="62" t="n"/>
      <c r="K703">
        <f>IF($C703="","",IF(COUNTIF($C$3:$C703,$C703)=1,$C703,""))</f>
        <v/>
      </c>
      <c r="L703">
        <f>IF($K703="","",$M703+ROW()/10000000)</f>
        <v/>
      </c>
      <c r="M703">
        <f>IF($K703="","",SUMIF($C$3:$C$1002,$K703,$G$3:$G$1002))</f>
        <v/>
      </c>
      <c r="N703">
        <f>IF($K703="","",COUNTIF($C$3:$C$1002,$K703))</f>
        <v/>
      </c>
      <c r="P703">
        <f>IF($A703="","",$A703*100000+ROW())</f>
        <v/>
      </c>
    </row>
    <row r="704" ht="18" customHeight="1">
      <c r="A704" s="60" t="n"/>
      <c r="B704" s="61">
        <f>IF(A704="","",TEXT(A704,"mmm yyyy"))</f>
        <v/>
      </c>
      <c r="C704" s="62" t="n"/>
      <c r="D704" s="62" t="n"/>
      <c r="E704" s="62" t="n"/>
      <c r="F704" s="62" t="n"/>
      <c r="G704" s="63" t="n"/>
      <c r="H704" s="62" t="n"/>
      <c r="K704">
        <f>IF($C704="","",IF(COUNTIF($C$3:$C704,$C704)=1,$C704,""))</f>
        <v/>
      </c>
      <c r="L704">
        <f>IF($K704="","",$M704+ROW()/10000000)</f>
        <v/>
      </c>
      <c r="M704">
        <f>IF($K704="","",SUMIF($C$3:$C$1002,$K704,$G$3:$G$1002))</f>
        <v/>
      </c>
      <c r="N704">
        <f>IF($K704="","",COUNTIF($C$3:$C$1002,$K704))</f>
        <v/>
      </c>
      <c r="P704">
        <f>IF($A704="","",$A704*100000+ROW())</f>
        <v/>
      </c>
    </row>
    <row r="705" ht="18" customHeight="1">
      <c r="A705" s="60" t="n"/>
      <c r="B705" s="61">
        <f>IF(A705="","",TEXT(A705,"mmm yyyy"))</f>
        <v/>
      </c>
      <c r="C705" s="62" t="n"/>
      <c r="D705" s="62" t="n"/>
      <c r="E705" s="62" t="n"/>
      <c r="F705" s="62" t="n"/>
      <c r="G705" s="63" t="n"/>
      <c r="H705" s="62" t="n"/>
      <c r="K705">
        <f>IF($C705="","",IF(COUNTIF($C$3:$C705,$C705)=1,$C705,""))</f>
        <v/>
      </c>
      <c r="L705">
        <f>IF($K705="","",$M705+ROW()/10000000)</f>
        <v/>
      </c>
      <c r="M705">
        <f>IF($K705="","",SUMIF($C$3:$C$1002,$K705,$G$3:$G$1002))</f>
        <v/>
      </c>
      <c r="N705">
        <f>IF($K705="","",COUNTIF($C$3:$C$1002,$K705))</f>
        <v/>
      </c>
      <c r="P705">
        <f>IF($A705="","",$A705*100000+ROW())</f>
        <v/>
      </c>
    </row>
    <row r="706" ht="18" customHeight="1">
      <c r="A706" s="60" t="n"/>
      <c r="B706" s="61">
        <f>IF(A706="","",TEXT(A706,"mmm yyyy"))</f>
        <v/>
      </c>
      <c r="C706" s="62" t="n"/>
      <c r="D706" s="62" t="n"/>
      <c r="E706" s="62" t="n"/>
      <c r="F706" s="62" t="n"/>
      <c r="G706" s="63" t="n"/>
      <c r="H706" s="62" t="n"/>
      <c r="K706">
        <f>IF($C706="","",IF(COUNTIF($C$3:$C706,$C706)=1,$C706,""))</f>
        <v/>
      </c>
      <c r="L706">
        <f>IF($K706="","",$M706+ROW()/10000000)</f>
        <v/>
      </c>
      <c r="M706">
        <f>IF($K706="","",SUMIF($C$3:$C$1002,$K706,$G$3:$G$1002))</f>
        <v/>
      </c>
      <c r="N706">
        <f>IF($K706="","",COUNTIF($C$3:$C$1002,$K706))</f>
        <v/>
      </c>
      <c r="P706">
        <f>IF($A706="","",$A706*100000+ROW())</f>
        <v/>
      </c>
    </row>
    <row r="707" ht="18" customHeight="1">
      <c r="A707" s="60" t="n"/>
      <c r="B707" s="61">
        <f>IF(A707="","",TEXT(A707,"mmm yyyy"))</f>
        <v/>
      </c>
      <c r="C707" s="62" t="n"/>
      <c r="D707" s="62" t="n"/>
      <c r="E707" s="62" t="n"/>
      <c r="F707" s="62" t="n"/>
      <c r="G707" s="63" t="n"/>
      <c r="H707" s="62" t="n"/>
      <c r="K707">
        <f>IF($C707="","",IF(COUNTIF($C$3:$C707,$C707)=1,$C707,""))</f>
        <v/>
      </c>
      <c r="L707">
        <f>IF($K707="","",$M707+ROW()/10000000)</f>
        <v/>
      </c>
      <c r="M707">
        <f>IF($K707="","",SUMIF($C$3:$C$1002,$K707,$G$3:$G$1002))</f>
        <v/>
      </c>
      <c r="N707">
        <f>IF($K707="","",COUNTIF($C$3:$C$1002,$K707))</f>
        <v/>
      </c>
      <c r="P707">
        <f>IF($A707="","",$A707*100000+ROW())</f>
        <v/>
      </c>
    </row>
    <row r="708" ht="18" customHeight="1">
      <c r="A708" s="60" t="n"/>
      <c r="B708" s="61">
        <f>IF(A708="","",TEXT(A708,"mmm yyyy"))</f>
        <v/>
      </c>
      <c r="C708" s="62" t="n"/>
      <c r="D708" s="62" t="n"/>
      <c r="E708" s="62" t="n"/>
      <c r="F708" s="62" t="n"/>
      <c r="G708" s="63" t="n"/>
      <c r="H708" s="62" t="n"/>
      <c r="K708">
        <f>IF($C708="","",IF(COUNTIF($C$3:$C708,$C708)=1,$C708,""))</f>
        <v/>
      </c>
      <c r="L708">
        <f>IF($K708="","",$M708+ROW()/10000000)</f>
        <v/>
      </c>
      <c r="M708">
        <f>IF($K708="","",SUMIF($C$3:$C$1002,$K708,$G$3:$G$1002))</f>
        <v/>
      </c>
      <c r="N708">
        <f>IF($K708="","",COUNTIF($C$3:$C$1002,$K708))</f>
        <v/>
      </c>
      <c r="P708">
        <f>IF($A708="","",$A708*100000+ROW())</f>
        <v/>
      </c>
    </row>
    <row r="709" ht="18" customHeight="1">
      <c r="A709" s="60" t="n"/>
      <c r="B709" s="61">
        <f>IF(A709="","",TEXT(A709,"mmm yyyy"))</f>
        <v/>
      </c>
      <c r="C709" s="62" t="n"/>
      <c r="D709" s="62" t="n"/>
      <c r="E709" s="62" t="n"/>
      <c r="F709" s="62" t="n"/>
      <c r="G709" s="63" t="n"/>
      <c r="H709" s="62" t="n"/>
      <c r="K709">
        <f>IF($C709="","",IF(COUNTIF($C$3:$C709,$C709)=1,$C709,""))</f>
        <v/>
      </c>
      <c r="L709">
        <f>IF($K709="","",$M709+ROW()/10000000)</f>
        <v/>
      </c>
      <c r="M709">
        <f>IF($K709="","",SUMIF($C$3:$C$1002,$K709,$G$3:$G$1002))</f>
        <v/>
      </c>
      <c r="N709">
        <f>IF($K709="","",COUNTIF($C$3:$C$1002,$K709))</f>
        <v/>
      </c>
      <c r="P709">
        <f>IF($A709="","",$A709*100000+ROW())</f>
        <v/>
      </c>
    </row>
    <row r="710" ht="18" customHeight="1">
      <c r="A710" s="60" t="n"/>
      <c r="B710" s="61">
        <f>IF(A710="","",TEXT(A710,"mmm yyyy"))</f>
        <v/>
      </c>
      <c r="C710" s="62" t="n"/>
      <c r="D710" s="62" t="n"/>
      <c r="E710" s="62" t="n"/>
      <c r="F710" s="62" t="n"/>
      <c r="G710" s="63" t="n"/>
      <c r="H710" s="62" t="n"/>
      <c r="K710">
        <f>IF($C710="","",IF(COUNTIF($C$3:$C710,$C710)=1,$C710,""))</f>
        <v/>
      </c>
      <c r="L710">
        <f>IF($K710="","",$M710+ROW()/10000000)</f>
        <v/>
      </c>
      <c r="M710">
        <f>IF($K710="","",SUMIF($C$3:$C$1002,$K710,$G$3:$G$1002))</f>
        <v/>
      </c>
      <c r="N710">
        <f>IF($K710="","",COUNTIF($C$3:$C$1002,$K710))</f>
        <v/>
      </c>
      <c r="P710">
        <f>IF($A710="","",$A710*100000+ROW())</f>
        <v/>
      </c>
    </row>
    <row r="711" ht="18" customHeight="1">
      <c r="A711" s="60" t="n"/>
      <c r="B711" s="61">
        <f>IF(A711="","",TEXT(A711,"mmm yyyy"))</f>
        <v/>
      </c>
      <c r="C711" s="62" t="n"/>
      <c r="D711" s="62" t="n"/>
      <c r="E711" s="62" t="n"/>
      <c r="F711" s="62" t="n"/>
      <c r="G711" s="63" t="n"/>
      <c r="H711" s="62" t="n"/>
      <c r="K711">
        <f>IF($C711="","",IF(COUNTIF($C$3:$C711,$C711)=1,$C711,""))</f>
        <v/>
      </c>
      <c r="L711">
        <f>IF($K711="","",$M711+ROW()/10000000)</f>
        <v/>
      </c>
      <c r="M711">
        <f>IF($K711="","",SUMIF($C$3:$C$1002,$K711,$G$3:$G$1002))</f>
        <v/>
      </c>
      <c r="N711">
        <f>IF($K711="","",COUNTIF($C$3:$C$1002,$K711))</f>
        <v/>
      </c>
      <c r="P711">
        <f>IF($A711="","",$A711*100000+ROW())</f>
        <v/>
      </c>
    </row>
    <row r="712" ht="18" customHeight="1">
      <c r="A712" s="60" t="n"/>
      <c r="B712" s="61">
        <f>IF(A712="","",TEXT(A712,"mmm yyyy"))</f>
        <v/>
      </c>
      <c r="C712" s="62" t="n"/>
      <c r="D712" s="62" t="n"/>
      <c r="E712" s="62" t="n"/>
      <c r="F712" s="62" t="n"/>
      <c r="G712" s="63" t="n"/>
      <c r="H712" s="62" t="n"/>
      <c r="K712">
        <f>IF($C712="","",IF(COUNTIF($C$3:$C712,$C712)=1,$C712,""))</f>
        <v/>
      </c>
      <c r="L712">
        <f>IF($K712="","",$M712+ROW()/10000000)</f>
        <v/>
      </c>
      <c r="M712">
        <f>IF($K712="","",SUMIF($C$3:$C$1002,$K712,$G$3:$G$1002))</f>
        <v/>
      </c>
      <c r="N712">
        <f>IF($K712="","",COUNTIF($C$3:$C$1002,$K712))</f>
        <v/>
      </c>
      <c r="P712">
        <f>IF($A712="","",$A712*100000+ROW())</f>
        <v/>
      </c>
    </row>
    <row r="713" ht="18" customHeight="1">
      <c r="A713" s="60" t="n"/>
      <c r="B713" s="61">
        <f>IF(A713="","",TEXT(A713,"mmm yyyy"))</f>
        <v/>
      </c>
      <c r="C713" s="62" t="n"/>
      <c r="D713" s="62" t="n"/>
      <c r="E713" s="62" t="n"/>
      <c r="F713" s="62" t="n"/>
      <c r="G713" s="63" t="n"/>
      <c r="H713" s="62" t="n"/>
      <c r="K713">
        <f>IF($C713="","",IF(COUNTIF($C$3:$C713,$C713)=1,$C713,""))</f>
        <v/>
      </c>
      <c r="L713">
        <f>IF($K713="","",$M713+ROW()/10000000)</f>
        <v/>
      </c>
      <c r="M713">
        <f>IF($K713="","",SUMIF($C$3:$C$1002,$K713,$G$3:$G$1002))</f>
        <v/>
      </c>
      <c r="N713">
        <f>IF($K713="","",COUNTIF($C$3:$C$1002,$K713))</f>
        <v/>
      </c>
      <c r="P713">
        <f>IF($A713="","",$A713*100000+ROW())</f>
        <v/>
      </c>
    </row>
    <row r="714" ht="18" customHeight="1">
      <c r="A714" s="60" t="n"/>
      <c r="B714" s="61">
        <f>IF(A714="","",TEXT(A714,"mmm yyyy"))</f>
        <v/>
      </c>
      <c r="C714" s="62" t="n"/>
      <c r="D714" s="62" t="n"/>
      <c r="E714" s="62" t="n"/>
      <c r="F714" s="62" t="n"/>
      <c r="G714" s="63" t="n"/>
      <c r="H714" s="62" t="n"/>
      <c r="K714">
        <f>IF($C714="","",IF(COUNTIF($C$3:$C714,$C714)=1,$C714,""))</f>
        <v/>
      </c>
      <c r="L714">
        <f>IF($K714="","",$M714+ROW()/10000000)</f>
        <v/>
      </c>
      <c r="M714">
        <f>IF($K714="","",SUMIF($C$3:$C$1002,$K714,$G$3:$G$1002))</f>
        <v/>
      </c>
      <c r="N714">
        <f>IF($K714="","",COUNTIF($C$3:$C$1002,$K714))</f>
        <v/>
      </c>
      <c r="P714">
        <f>IF($A714="","",$A714*100000+ROW())</f>
        <v/>
      </c>
    </row>
    <row r="715" ht="18" customHeight="1">
      <c r="A715" s="60" t="n"/>
      <c r="B715" s="61">
        <f>IF(A715="","",TEXT(A715,"mmm yyyy"))</f>
        <v/>
      </c>
      <c r="C715" s="62" t="n"/>
      <c r="D715" s="62" t="n"/>
      <c r="E715" s="62" t="n"/>
      <c r="F715" s="62" t="n"/>
      <c r="G715" s="63" t="n"/>
      <c r="H715" s="62" t="n"/>
      <c r="K715">
        <f>IF($C715="","",IF(COUNTIF($C$3:$C715,$C715)=1,$C715,""))</f>
        <v/>
      </c>
      <c r="L715">
        <f>IF($K715="","",$M715+ROW()/10000000)</f>
        <v/>
      </c>
      <c r="M715">
        <f>IF($K715="","",SUMIF($C$3:$C$1002,$K715,$G$3:$G$1002))</f>
        <v/>
      </c>
      <c r="N715">
        <f>IF($K715="","",COUNTIF($C$3:$C$1002,$K715))</f>
        <v/>
      </c>
      <c r="P715">
        <f>IF($A715="","",$A715*100000+ROW())</f>
        <v/>
      </c>
    </row>
    <row r="716" ht="18" customHeight="1">
      <c r="A716" s="60" t="n"/>
      <c r="B716" s="61">
        <f>IF(A716="","",TEXT(A716,"mmm yyyy"))</f>
        <v/>
      </c>
      <c r="C716" s="62" t="n"/>
      <c r="D716" s="62" t="n"/>
      <c r="E716" s="62" t="n"/>
      <c r="F716" s="62" t="n"/>
      <c r="G716" s="63" t="n"/>
      <c r="H716" s="62" t="n"/>
      <c r="K716">
        <f>IF($C716="","",IF(COUNTIF($C$3:$C716,$C716)=1,$C716,""))</f>
        <v/>
      </c>
      <c r="L716">
        <f>IF($K716="","",$M716+ROW()/10000000)</f>
        <v/>
      </c>
      <c r="M716">
        <f>IF($K716="","",SUMIF($C$3:$C$1002,$K716,$G$3:$G$1002))</f>
        <v/>
      </c>
      <c r="N716">
        <f>IF($K716="","",COUNTIF($C$3:$C$1002,$K716))</f>
        <v/>
      </c>
      <c r="P716">
        <f>IF($A716="","",$A716*100000+ROW())</f>
        <v/>
      </c>
    </row>
    <row r="717" ht="18" customHeight="1">
      <c r="A717" s="60" t="n"/>
      <c r="B717" s="61">
        <f>IF(A717="","",TEXT(A717,"mmm yyyy"))</f>
        <v/>
      </c>
      <c r="C717" s="62" t="n"/>
      <c r="D717" s="62" t="n"/>
      <c r="E717" s="62" t="n"/>
      <c r="F717" s="62" t="n"/>
      <c r="G717" s="63" t="n"/>
      <c r="H717" s="62" t="n"/>
      <c r="K717">
        <f>IF($C717="","",IF(COUNTIF($C$3:$C717,$C717)=1,$C717,""))</f>
        <v/>
      </c>
      <c r="L717">
        <f>IF($K717="","",$M717+ROW()/10000000)</f>
        <v/>
      </c>
      <c r="M717">
        <f>IF($K717="","",SUMIF($C$3:$C$1002,$K717,$G$3:$G$1002))</f>
        <v/>
      </c>
      <c r="N717">
        <f>IF($K717="","",COUNTIF($C$3:$C$1002,$K717))</f>
        <v/>
      </c>
      <c r="P717">
        <f>IF($A717="","",$A717*100000+ROW())</f>
        <v/>
      </c>
    </row>
    <row r="718" ht="18" customHeight="1">
      <c r="A718" s="60" t="n"/>
      <c r="B718" s="61">
        <f>IF(A718="","",TEXT(A718,"mmm yyyy"))</f>
        <v/>
      </c>
      <c r="C718" s="62" t="n"/>
      <c r="D718" s="62" t="n"/>
      <c r="E718" s="62" t="n"/>
      <c r="F718" s="62" t="n"/>
      <c r="G718" s="63" t="n"/>
      <c r="H718" s="62" t="n"/>
      <c r="K718">
        <f>IF($C718="","",IF(COUNTIF($C$3:$C718,$C718)=1,$C718,""))</f>
        <v/>
      </c>
      <c r="L718">
        <f>IF($K718="","",$M718+ROW()/10000000)</f>
        <v/>
      </c>
      <c r="M718">
        <f>IF($K718="","",SUMIF($C$3:$C$1002,$K718,$G$3:$G$1002))</f>
        <v/>
      </c>
      <c r="N718">
        <f>IF($K718="","",COUNTIF($C$3:$C$1002,$K718))</f>
        <v/>
      </c>
      <c r="P718">
        <f>IF($A718="","",$A718*100000+ROW())</f>
        <v/>
      </c>
    </row>
    <row r="719" ht="18" customHeight="1">
      <c r="A719" s="60" t="n"/>
      <c r="B719" s="61">
        <f>IF(A719="","",TEXT(A719,"mmm yyyy"))</f>
        <v/>
      </c>
      <c r="C719" s="62" t="n"/>
      <c r="D719" s="62" t="n"/>
      <c r="E719" s="62" t="n"/>
      <c r="F719" s="62" t="n"/>
      <c r="G719" s="63" t="n"/>
      <c r="H719" s="62" t="n"/>
      <c r="K719">
        <f>IF($C719="","",IF(COUNTIF($C$3:$C719,$C719)=1,$C719,""))</f>
        <v/>
      </c>
      <c r="L719">
        <f>IF($K719="","",$M719+ROW()/10000000)</f>
        <v/>
      </c>
      <c r="M719">
        <f>IF($K719="","",SUMIF($C$3:$C$1002,$K719,$G$3:$G$1002))</f>
        <v/>
      </c>
      <c r="N719">
        <f>IF($K719="","",COUNTIF($C$3:$C$1002,$K719))</f>
        <v/>
      </c>
      <c r="P719">
        <f>IF($A719="","",$A719*100000+ROW())</f>
        <v/>
      </c>
    </row>
    <row r="720" ht="18" customHeight="1">
      <c r="A720" s="60" t="n"/>
      <c r="B720" s="61">
        <f>IF(A720="","",TEXT(A720,"mmm yyyy"))</f>
        <v/>
      </c>
      <c r="C720" s="62" t="n"/>
      <c r="D720" s="62" t="n"/>
      <c r="E720" s="62" t="n"/>
      <c r="F720" s="62" t="n"/>
      <c r="G720" s="63" t="n"/>
      <c r="H720" s="62" t="n"/>
      <c r="K720">
        <f>IF($C720="","",IF(COUNTIF($C$3:$C720,$C720)=1,$C720,""))</f>
        <v/>
      </c>
      <c r="L720">
        <f>IF($K720="","",$M720+ROW()/10000000)</f>
        <v/>
      </c>
      <c r="M720">
        <f>IF($K720="","",SUMIF($C$3:$C$1002,$K720,$G$3:$G$1002))</f>
        <v/>
      </c>
      <c r="N720">
        <f>IF($K720="","",COUNTIF($C$3:$C$1002,$K720))</f>
        <v/>
      </c>
      <c r="P720">
        <f>IF($A720="","",$A720*100000+ROW())</f>
        <v/>
      </c>
    </row>
    <row r="721" ht="18" customHeight="1">
      <c r="A721" s="60" t="n"/>
      <c r="B721" s="61">
        <f>IF(A721="","",TEXT(A721,"mmm yyyy"))</f>
        <v/>
      </c>
      <c r="C721" s="62" t="n"/>
      <c r="D721" s="62" t="n"/>
      <c r="E721" s="62" t="n"/>
      <c r="F721" s="62" t="n"/>
      <c r="G721" s="63" t="n"/>
      <c r="H721" s="62" t="n"/>
      <c r="K721">
        <f>IF($C721="","",IF(COUNTIF($C$3:$C721,$C721)=1,$C721,""))</f>
        <v/>
      </c>
      <c r="L721">
        <f>IF($K721="","",$M721+ROW()/10000000)</f>
        <v/>
      </c>
      <c r="M721">
        <f>IF($K721="","",SUMIF($C$3:$C$1002,$K721,$G$3:$G$1002))</f>
        <v/>
      </c>
      <c r="N721">
        <f>IF($K721="","",COUNTIF($C$3:$C$1002,$K721))</f>
        <v/>
      </c>
      <c r="P721">
        <f>IF($A721="","",$A721*100000+ROW())</f>
        <v/>
      </c>
    </row>
    <row r="722" ht="18" customHeight="1">
      <c r="A722" s="60" t="n"/>
      <c r="B722" s="61">
        <f>IF(A722="","",TEXT(A722,"mmm yyyy"))</f>
        <v/>
      </c>
      <c r="C722" s="62" t="n"/>
      <c r="D722" s="62" t="n"/>
      <c r="E722" s="62" t="n"/>
      <c r="F722" s="62" t="n"/>
      <c r="G722" s="63" t="n"/>
      <c r="H722" s="62" t="n"/>
      <c r="K722">
        <f>IF($C722="","",IF(COUNTIF($C$3:$C722,$C722)=1,$C722,""))</f>
        <v/>
      </c>
      <c r="L722">
        <f>IF($K722="","",$M722+ROW()/10000000)</f>
        <v/>
      </c>
      <c r="M722">
        <f>IF($K722="","",SUMIF($C$3:$C$1002,$K722,$G$3:$G$1002))</f>
        <v/>
      </c>
      <c r="N722">
        <f>IF($K722="","",COUNTIF($C$3:$C$1002,$K722))</f>
        <v/>
      </c>
      <c r="P722">
        <f>IF($A722="","",$A722*100000+ROW())</f>
        <v/>
      </c>
    </row>
    <row r="723" ht="18" customHeight="1">
      <c r="A723" s="60" t="n"/>
      <c r="B723" s="61">
        <f>IF(A723="","",TEXT(A723,"mmm yyyy"))</f>
        <v/>
      </c>
      <c r="C723" s="62" t="n"/>
      <c r="D723" s="62" t="n"/>
      <c r="E723" s="62" t="n"/>
      <c r="F723" s="62" t="n"/>
      <c r="G723" s="63" t="n"/>
      <c r="H723" s="62" t="n"/>
      <c r="K723">
        <f>IF($C723="","",IF(COUNTIF($C$3:$C723,$C723)=1,$C723,""))</f>
        <v/>
      </c>
      <c r="L723">
        <f>IF($K723="","",$M723+ROW()/10000000)</f>
        <v/>
      </c>
      <c r="M723">
        <f>IF($K723="","",SUMIF($C$3:$C$1002,$K723,$G$3:$G$1002))</f>
        <v/>
      </c>
      <c r="N723">
        <f>IF($K723="","",COUNTIF($C$3:$C$1002,$K723))</f>
        <v/>
      </c>
      <c r="P723">
        <f>IF($A723="","",$A723*100000+ROW())</f>
        <v/>
      </c>
    </row>
    <row r="724" ht="18" customHeight="1">
      <c r="A724" s="60" t="n"/>
      <c r="B724" s="61">
        <f>IF(A724="","",TEXT(A724,"mmm yyyy"))</f>
        <v/>
      </c>
      <c r="C724" s="62" t="n"/>
      <c r="D724" s="62" t="n"/>
      <c r="E724" s="62" t="n"/>
      <c r="F724" s="62" t="n"/>
      <c r="G724" s="63" t="n"/>
      <c r="H724" s="62" t="n"/>
      <c r="K724">
        <f>IF($C724="","",IF(COUNTIF($C$3:$C724,$C724)=1,$C724,""))</f>
        <v/>
      </c>
      <c r="L724">
        <f>IF($K724="","",$M724+ROW()/10000000)</f>
        <v/>
      </c>
      <c r="M724">
        <f>IF($K724="","",SUMIF($C$3:$C$1002,$K724,$G$3:$G$1002))</f>
        <v/>
      </c>
      <c r="N724">
        <f>IF($K724="","",COUNTIF($C$3:$C$1002,$K724))</f>
        <v/>
      </c>
      <c r="P724">
        <f>IF($A724="","",$A724*100000+ROW())</f>
        <v/>
      </c>
    </row>
    <row r="725" ht="18" customHeight="1">
      <c r="A725" s="60" t="n"/>
      <c r="B725" s="61">
        <f>IF(A725="","",TEXT(A725,"mmm yyyy"))</f>
        <v/>
      </c>
      <c r="C725" s="62" t="n"/>
      <c r="D725" s="62" t="n"/>
      <c r="E725" s="62" t="n"/>
      <c r="F725" s="62" t="n"/>
      <c r="G725" s="63" t="n"/>
      <c r="H725" s="62" t="n"/>
      <c r="K725">
        <f>IF($C725="","",IF(COUNTIF($C$3:$C725,$C725)=1,$C725,""))</f>
        <v/>
      </c>
      <c r="L725">
        <f>IF($K725="","",$M725+ROW()/10000000)</f>
        <v/>
      </c>
      <c r="M725">
        <f>IF($K725="","",SUMIF($C$3:$C$1002,$K725,$G$3:$G$1002))</f>
        <v/>
      </c>
      <c r="N725">
        <f>IF($K725="","",COUNTIF($C$3:$C$1002,$K725))</f>
        <v/>
      </c>
      <c r="P725">
        <f>IF($A725="","",$A725*100000+ROW())</f>
        <v/>
      </c>
    </row>
    <row r="726" ht="18" customHeight="1">
      <c r="A726" s="60" t="n"/>
      <c r="B726" s="61">
        <f>IF(A726="","",TEXT(A726,"mmm yyyy"))</f>
        <v/>
      </c>
      <c r="C726" s="62" t="n"/>
      <c r="D726" s="62" t="n"/>
      <c r="E726" s="62" t="n"/>
      <c r="F726" s="62" t="n"/>
      <c r="G726" s="63" t="n"/>
      <c r="H726" s="62" t="n"/>
      <c r="K726">
        <f>IF($C726="","",IF(COUNTIF($C$3:$C726,$C726)=1,$C726,""))</f>
        <v/>
      </c>
      <c r="L726">
        <f>IF($K726="","",$M726+ROW()/10000000)</f>
        <v/>
      </c>
      <c r="M726">
        <f>IF($K726="","",SUMIF($C$3:$C$1002,$K726,$G$3:$G$1002))</f>
        <v/>
      </c>
      <c r="N726">
        <f>IF($K726="","",COUNTIF($C$3:$C$1002,$K726))</f>
        <v/>
      </c>
      <c r="P726">
        <f>IF($A726="","",$A726*100000+ROW())</f>
        <v/>
      </c>
    </row>
    <row r="727" ht="18" customHeight="1">
      <c r="A727" s="60" t="n"/>
      <c r="B727" s="61">
        <f>IF(A727="","",TEXT(A727,"mmm yyyy"))</f>
        <v/>
      </c>
      <c r="C727" s="62" t="n"/>
      <c r="D727" s="62" t="n"/>
      <c r="E727" s="62" t="n"/>
      <c r="F727" s="62" t="n"/>
      <c r="G727" s="63" t="n"/>
      <c r="H727" s="62" t="n"/>
      <c r="K727">
        <f>IF($C727="","",IF(COUNTIF($C$3:$C727,$C727)=1,$C727,""))</f>
        <v/>
      </c>
      <c r="L727">
        <f>IF($K727="","",$M727+ROW()/10000000)</f>
        <v/>
      </c>
      <c r="M727">
        <f>IF($K727="","",SUMIF($C$3:$C$1002,$K727,$G$3:$G$1002))</f>
        <v/>
      </c>
      <c r="N727">
        <f>IF($K727="","",COUNTIF($C$3:$C$1002,$K727))</f>
        <v/>
      </c>
      <c r="P727">
        <f>IF($A727="","",$A727*100000+ROW())</f>
        <v/>
      </c>
    </row>
    <row r="728" ht="18" customHeight="1">
      <c r="A728" s="60" t="n"/>
      <c r="B728" s="61">
        <f>IF(A728="","",TEXT(A728,"mmm yyyy"))</f>
        <v/>
      </c>
      <c r="C728" s="62" t="n"/>
      <c r="D728" s="62" t="n"/>
      <c r="E728" s="62" t="n"/>
      <c r="F728" s="62" t="n"/>
      <c r="G728" s="63" t="n"/>
      <c r="H728" s="62" t="n"/>
      <c r="K728">
        <f>IF($C728="","",IF(COUNTIF($C$3:$C728,$C728)=1,$C728,""))</f>
        <v/>
      </c>
      <c r="L728">
        <f>IF($K728="","",$M728+ROW()/10000000)</f>
        <v/>
      </c>
      <c r="M728">
        <f>IF($K728="","",SUMIF($C$3:$C$1002,$K728,$G$3:$G$1002))</f>
        <v/>
      </c>
      <c r="N728">
        <f>IF($K728="","",COUNTIF($C$3:$C$1002,$K728))</f>
        <v/>
      </c>
      <c r="P728">
        <f>IF($A728="","",$A728*100000+ROW())</f>
        <v/>
      </c>
    </row>
    <row r="729" ht="18" customHeight="1">
      <c r="A729" s="60" t="n"/>
      <c r="B729" s="61">
        <f>IF(A729="","",TEXT(A729,"mmm yyyy"))</f>
        <v/>
      </c>
      <c r="C729" s="62" t="n"/>
      <c r="D729" s="62" t="n"/>
      <c r="E729" s="62" t="n"/>
      <c r="F729" s="62" t="n"/>
      <c r="G729" s="63" t="n"/>
      <c r="H729" s="62" t="n"/>
      <c r="K729">
        <f>IF($C729="","",IF(COUNTIF($C$3:$C729,$C729)=1,$C729,""))</f>
        <v/>
      </c>
      <c r="L729">
        <f>IF($K729="","",$M729+ROW()/10000000)</f>
        <v/>
      </c>
      <c r="M729">
        <f>IF($K729="","",SUMIF($C$3:$C$1002,$K729,$G$3:$G$1002))</f>
        <v/>
      </c>
      <c r="N729">
        <f>IF($K729="","",COUNTIF($C$3:$C$1002,$K729))</f>
        <v/>
      </c>
      <c r="P729">
        <f>IF($A729="","",$A729*100000+ROW())</f>
        <v/>
      </c>
    </row>
    <row r="730" ht="18" customHeight="1">
      <c r="A730" s="60" t="n"/>
      <c r="B730" s="61">
        <f>IF(A730="","",TEXT(A730,"mmm yyyy"))</f>
        <v/>
      </c>
      <c r="C730" s="62" t="n"/>
      <c r="D730" s="62" t="n"/>
      <c r="E730" s="62" t="n"/>
      <c r="F730" s="62" t="n"/>
      <c r="G730" s="63" t="n"/>
      <c r="H730" s="62" t="n"/>
      <c r="K730">
        <f>IF($C730="","",IF(COUNTIF($C$3:$C730,$C730)=1,$C730,""))</f>
        <v/>
      </c>
      <c r="L730">
        <f>IF($K730="","",$M730+ROW()/10000000)</f>
        <v/>
      </c>
      <c r="M730">
        <f>IF($K730="","",SUMIF($C$3:$C$1002,$K730,$G$3:$G$1002))</f>
        <v/>
      </c>
      <c r="N730">
        <f>IF($K730="","",COUNTIF($C$3:$C$1002,$K730))</f>
        <v/>
      </c>
      <c r="P730">
        <f>IF($A730="","",$A730*100000+ROW())</f>
        <v/>
      </c>
    </row>
    <row r="731" ht="18" customHeight="1">
      <c r="A731" s="60" t="n"/>
      <c r="B731" s="61">
        <f>IF(A731="","",TEXT(A731,"mmm yyyy"))</f>
        <v/>
      </c>
      <c r="C731" s="62" t="n"/>
      <c r="D731" s="62" t="n"/>
      <c r="E731" s="62" t="n"/>
      <c r="F731" s="62" t="n"/>
      <c r="G731" s="63" t="n"/>
      <c r="H731" s="62" t="n"/>
      <c r="K731">
        <f>IF($C731="","",IF(COUNTIF($C$3:$C731,$C731)=1,$C731,""))</f>
        <v/>
      </c>
      <c r="L731">
        <f>IF($K731="","",$M731+ROW()/10000000)</f>
        <v/>
      </c>
      <c r="M731">
        <f>IF($K731="","",SUMIF($C$3:$C$1002,$K731,$G$3:$G$1002))</f>
        <v/>
      </c>
      <c r="N731">
        <f>IF($K731="","",COUNTIF($C$3:$C$1002,$K731))</f>
        <v/>
      </c>
      <c r="P731">
        <f>IF($A731="","",$A731*100000+ROW())</f>
        <v/>
      </c>
    </row>
    <row r="732" ht="18" customHeight="1">
      <c r="A732" s="60" t="n"/>
      <c r="B732" s="61">
        <f>IF(A732="","",TEXT(A732,"mmm yyyy"))</f>
        <v/>
      </c>
      <c r="C732" s="62" t="n"/>
      <c r="D732" s="62" t="n"/>
      <c r="E732" s="62" t="n"/>
      <c r="F732" s="62" t="n"/>
      <c r="G732" s="63" t="n"/>
      <c r="H732" s="62" t="n"/>
      <c r="K732">
        <f>IF($C732="","",IF(COUNTIF($C$3:$C732,$C732)=1,$C732,""))</f>
        <v/>
      </c>
      <c r="L732">
        <f>IF($K732="","",$M732+ROW()/10000000)</f>
        <v/>
      </c>
      <c r="M732">
        <f>IF($K732="","",SUMIF($C$3:$C$1002,$K732,$G$3:$G$1002))</f>
        <v/>
      </c>
      <c r="N732">
        <f>IF($K732="","",COUNTIF($C$3:$C$1002,$K732))</f>
        <v/>
      </c>
      <c r="P732">
        <f>IF($A732="","",$A732*100000+ROW())</f>
        <v/>
      </c>
    </row>
    <row r="733" ht="18" customHeight="1">
      <c r="A733" s="60" t="n"/>
      <c r="B733" s="61">
        <f>IF(A733="","",TEXT(A733,"mmm yyyy"))</f>
        <v/>
      </c>
      <c r="C733" s="62" t="n"/>
      <c r="D733" s="62" t="n"/>
      <c r="E733" s="62" t="n"/>
      <c r="F733" s="62" t="n"/>
      <c r="G733" s="63" t="n"/>
      <c r="H733" s="62" t="n"/>
      <c r="K733">
        <f>IF($C733="","",IF(COUNTIF($C$3:$C733,$C733)=1,$C733,""))</f>
        <v/>
      </c>
      <c r="L733">
        <f>IF($K733="","",$M733+ROW()/10000000)</f>
        <v/>
      </c>
      <c r="M733">
        <f>IF($K733="","",SUMIF($C$3:$C$1002,$K733,$G$3:$G$1002))</f>
        <v/>
      </c>
      <c r="N733">
        <f>IF($K733="","",COUNTIF($C$3:$C$1002,$K733))</f>
        <v/>
      </c>
      <c r="P733">
        <f>IF($A733="","",$A733*100000+ROW())</f>
        <v/>
      </c>
    </row>
    <row r="734" ht="18" customHeight="1">
      <c r="A734" s="60" t="n"/>
      <c r="B734" s="61">
        <f>IF(A734="","",TEXT(A734,"mmm yyyy"))</f>
        <v/>
      </c>
      <c r="C734" s="62" t="n"/>
      <c r="D734" s="62" t="n"/>
      <c r="E734" s="62" t="n"/>
      <c r="F734" s="62" t="n"/>
      <c r="G734" s="63" t="n"/>
      <c r="H734" s="62" t="n"/>
      <c r="K734">
        <f>IF($C734="","",IF(COUNTIF($C$3:$C734,$C734)=1,$C734,""))</f>
        <v/>
      </c>
      <c r="L734">
        <f>IF($K734="","",$M734+ROW()/10000000)</f>
        <v/>
      </c>
      <c r="M734">
        <f>IF($K734="","",SUMIF($C$3:$C$1002,$K734,$G$3:$G$1002))</f>
        <v/>
      </c>
      <c r="N734">
        <f>IF($K734="","",COUNTIF($C$3:$C$1002,$K734))</f>
        <v/>
      </c>
      <c r="P734">
        <f>IF($A734="","",$A734*100000+ROW())</f>
        <v/>
      </c>
    </row>
    <row r="735" ht="18" customHeight="1">
      <c r="A735" s="60" t="n"/>
      <c r="B735" s="61">
        <f>IF(A735="","",TEXT(A735,"mmm yyyy"))</f>
        <v/>
      </c>
      <c r="C735" s="62" t="n"/>
      <c r="D735" s="62" t="n"/>
      <c r="E735" s="62" t="n"/>
      <c r="F735" s="62" t="n"/>
      <c r="G735" s="63" t="n"/>
      <c r="H735" s="62" t="n"/>
      <c r="K735">
        <f>IF($C735="","",IF(COUNTIF($C$3:$C735,$C735)=1,$C735,""))</f>
        <v/>
      </c>
      <c r="L735">
        <f>IF($K735="","",$M735+ROW()/10000000)</f>
        <v/>
      </c>
      <c r="M735">
        <f>IF($K735="","",SUMIF($C$3:$C$1002,$K735,$G$3:$G$1002))</f>
        <v/>
      </c>
      <c r="N735">
        <f>IF($K735="","",COUNTIF($C$3:$C$1002,$K735))</f>
        <v/>
      </c>
      <c r="P735">
        <f>IF($A735="","",$A735*100000+ROW())</f>
        <v/>
      </c>
    </row>
    <row r="736" ht="18" customHeight="1">
      <c r="A736" s="60" t="n"/>
      <c r="B736" s="61">
        <f>IF(A736="","",TEXT(A736,"mmm yyyy"))</f>
        <v/>
      </c>
      <c r="C736" s="62" t="n"/>
      <c r="D736" s="62" t="n"/>
      <c r="E736" s="62" t="n"/>
      <c r="F736" s="62" t="n"/>
      <c r="G736" s="63" t="n"/>
      <c r="H736" s="62" t="n"/>
      <c r="K736">
        <f>IF($C736="","",IF(COUNTIF($C$3:$C736,$C736)=1,$C736,""))</f>
        <v/>
      </c>
      <c r="L736">
        <f>IF($K736="","",$M736+ROW()/10000000)</f>
        <v/>
      </c>
      <c r="M736">
        <f>IF($K736="","",SUMIF($C$3:$C$1002,$K736,$G$3:$G$1002))</f>
        <v/>
      </c>
      <c r="N736">
        <f>IF($K736="","",COUNTIF($C$3:$C$1002,$K736))</f>
        <v/>
      </c>
      <c r="P736">
        <f>IF($A736="","",$A736*100000+ROW())</f>
        <v/>
      </c>
    </row>
    <row r="737" ht="18" customHeight="1">
      <c r="A737" s="60" t="n"/>
      <c r="B737" s="61">
        <f>IF(A737="","",TEXT(A737,"mmm yyyy"))</f>
        <v/>
      </c>
      <c r="C737" s="62" t="n"/>
      <c r="D737" s="62" t="n"/>
      <c r="E737" s="62" t="n"/>
      <c r="F737" s="62" t="n"/>
      <c r="G737" s="63" t="n"/>
      <c r="H737" s="62" t="n"/>
      <c r="K737">
        <f>IF($C737="","",IF(COUNTIF($C$3:$C737,$C737)=1,$C737,""))</f>
        <v/>
      </c>
      <c r="L737">
        <f>IF($K737="","",$M737+ROW()/10000000)</f>
        <v/>
      </c>
      <c r="M737">
        <f>IF($K737="","",SUMIF($C$3:$C$1002,$K737,$G$3:$G$1002))</f>
        <v/>
      </c>
      <c r="N737">
        <f>IF($K737="","",COUNTIF($C$3:$C$1002,$K737))</f>
        <v/>
      </c>
      <c r="P737">
        <f>IF($A737="","",$A737*100000+ROW())</f>
        <v/>
      </c>
    </row>
    <row r="738" ht="18" customHeight="1">
      <c r="A738" s="60" t="n"/>
      <c r="B738" s="61">
        <f>IF(A738="","",TEXT(A738,"mmm yyyy"))</f>
        <v/>
      </c>
      <c r="C738" s="62" t="n"/>
      <c r="D738" s="62" t="n"/>
      <c r="E738" s="62" t="n"/>
      <c r="F738" s="62" t="n"/>
      <c r="G738" s="63" t="n"/>
      <c r="H738" s="62" t="n"/>
      <c r="K738">
        <f>IF($C738="","",IF(COUNTIF($C$3:$C738,$C738)=1,$C738,""))</f>
        <v/>
      </c>
      <c r="L738">
        <f>IF($K738="","",$M738+ROW()/10000000)</f>
        <v/>
      </c>
      <c r="M738">
        <f>IF($K738="","",SUMIF($C$3:$C$1002,$K738,$G$3:$G$1002))</f>
        <v/>
      </c>
      <c r="N738">
        <f>IF($K738="","",COUNTIF($C$3:$C$1002,$K738))</f>
        <v/>
      </c>
      <c r="P738">
        <f>IF($A738="","",$A738*100000+ROW())</f>
        <v/>
      </c>
    </row>
    <row r="739" ht="18" customHeight="1">
      <c r="A739" s="60" t="n"/>
      <c r="B739" s="61">
        <f>IF(A739="","",TEXT(A739,"mmm yyyy"))</f>
        <v/>
      </c>
      <c r="C739" s="62" t="n"/>
      <c r="D739" s="62" t="n"/>
      <c r="E739" s="62" t="n"/>
      <c r="F739" s="62" t="n"/>
      <c r="G739" s="63" t="n"/>
      <c r="H739" s="62" t="n"/>
      <c r="K739">
        <f>IF($C739="","",IF(COUNTIF($C$3:$C739,$C739)=1,$C739,""))</f>
        <v/>
      </c>
      <c r="L739">
        <f>IF($K739="","",$M739+ROW()/10000000)</f>
        <v/>
      </c>
      <c r="M739">
        <f>IF($K739="","",SUMIF($C$3:$C$1002,$K739,$G$3:$G$1002))</f>
        <v/>
      </c>
      <c r="N739">
        <f>IF($K739="","",COUNTIF($C$3:$C$1002,$K739))</f>
        <v/>
      </c>
      <c r="P739">
        <f>IF($A739="","",$A739*100000+ROW())</f>
        <v/>
      </c>
    </row>
    <row r="740" ht="18" customHeight="1">
      <c r="A740" s="60" t="n"/>
      <c r="B740" s="61">
        <f>IF(A740="","",TEXT(A740,"mmm yyyy"))</f>
        <v/>
      </c>
      <c r="C740" s="62" t="n"/>
      <c r="D740" s="62" t="n"/>
      <c r="E740" s="62" t="n"/>
      <c r="F740" s="62" t="n"/>
      <c r="G740" s="63" t="n"/>
      <c r="H740" s="62" t="n"/>
      <c r="K740">
        <f>IF($C740="","",IF(COUNTIF($C$3:$C740,$C740)=1,$C740,""))</f>
        <v/>
      </c>
      <c r="L740">
        <f>IF($K740="","",$M740+ROW()/10000000)</f>
        <v/>
      </c>
      <c r="M740">
        <f>IF($K740="","",SUMIF($C$3:$C$1002,$K740,$G$3:$G$1002))</f>
        <v/>
      </c>
      <c r="N740">
        <f>IF($K740="","",COUNTIF($C$3:$C$1002,$K740))</f>
        <v/>
      </c>
      <c r="P740">
        <f>IF($A740="","",$A740*100000+ROW())</f>
        <v/>
      </c>
    </row>
    <row r="741" ht="18" customHeight="1">
      <c r="A741" s="60" t="n"/>
      <c r="B741" s="61">
        <f>IF(A741="","",TEXT(A741,"mmm yyyy"))</f>
        <v/>
      </c>
      <c r="C741" s="62" t="n"/>
      <c r="D741" s="62" t="n"/>
      <c r="E741" s="62" t="n"/>
      <c r="F741" s="62" t="n"/>
      <c r="G741" s="63" t="n"/>
      <c r="H741" s="62" t="n"/>
      <c r="K741">
        <f>IF($C741="","",IF(COUNTIF($C$3:$C741,$C741)=1,$C741,""))</f>
        <v/>
      </c>
      <c r="L741">
        <f>IF($K741="","",$M741+ROW()/10000000)</f>
        <v/>
      </c>
      <c r="M741">
        <f>IF($K741="","",SUMIF($C$3:$C$1002,$K741,$G$3:$G$1002))</f>
        <v/>
      </c>
      <c r="N741">
        <f>IF($K741="","",COUNTIF($C$3:$C$1002,$K741))</f>
        <v/>
      </c>
      <c r="P741">
        <f>IF($A741="","",$A741*100000+ROW())</f>
        <v/>
      </c>
    </row>
    <row r="742" ht="18" customHeight="1">
      <c r="A742" s="60" t="n"/>
      <c r="B742" s="61">
        <f>IF(A742="","",TEXT(A742,"mmm yyyy"))</f>
        <v/>
      </c>
      <c r="C742" s="62" t="n"/>
      <c r="D742" s="62" t="n"/>
      <c r="E742" s="62" t="n"/>
      <c r="F742" s="62" t="n"/>
      <c r="G742" s="63" t="n"/>
      <c r="H742" s="62" t="n"/>
      <c r="K742">
        <f>IF($C742="","",IF(COUNTIF($C$3:$C742,$C742)=1,$C742,""))</f>
        <v/>
      </c>
      <c r="L742">
        <f>IF($K742="","",$M742+ROW()/10000000)</f>
        <v/>
      </c>
      <c r="M742">
        <f>IF($K742="","",SUMIF($C$3:$C$1002,$K742,$G$3:$G$1002))</f>
        <v/>
      </c>
      <c r="N742">
        <f>IF($K742="","",COUNTIF($C$3:$C$1002,$K742))</f>
        <v/>
      </c>
      <c r="P742">
        <f>IF($A742="","",$A742*100000+ROW())</f>
        <v/>
      </c>
    </row>
    <row r="743" ht="18" customHeight="1">
      <c r="A743" s="60" t="n"/>
      <c r="B743" s="61">
        <f>IF(A743="","",TEXT(A743,"mmm yyyy"))</f>
        <v/>
      </c>
      <c r="C743" s="62" t="n"/>
      <c r="D743" s="62" t="n"/>
      <c r="E743" s="62" t="n"/>
      <c r="F743" s="62" t="n"/>
      <c r="G743" s="63" t="n"/>
      <c r="H743" s="62" t="n"/>
      <c r="K743">
        <f>IF($C743="","",IF(COUNTIF($C$3:$C743,$C743)=1,$C743,""))</f>
        <v/>
      </c>
      <c r="L743">
        <f>IF($K743="","",$M743+ROW()/10000000)</f>
        <v/>
      </c>
      <c r="M743">
        <f>IF($K743="","",SUMIF($C$3:$C$1002,$K743,$G$3:$G$1002))</f>
        <v/>
      </c>
      <c r="N743">
        <f>IF($K743="","",COUNTIF($C$3:$C$1002,$K743))</f>
        <v/>
      </c>
      <c r="P743">
        <f>IF($A743="","",$A743*100000+ROW())</f>
        <v/>
      </c>
    </row>
    <row r="744" ht="18" customHeight="1">
      <c r="A744" s="60" t="n"/>
      <c r="B744" s="61">
        <f>IF(A744="","",TEXT(A744,"mmm yyyy"))</f>
        <v/>
      </c>
      <c r="C744" s="62" t="n"/>
      <c r="D744" s="62" t="n"/>
      <c r="E744" s="62" t="n"/>
      <c r="F744" s="62" t="n"/>
      <c r="G744" s="63" t="n"/>
      <c r="H744" s="62" t="n"/>
      <c r="K744">
        <f>IF($C744="","",IF(COUNTIF($C$3:$C744,$C744)=1,$C744,""))</f>
        <v/>
      </c>
      <c r="L744">
        <f>IF($K744="","",$M744+ROW()/10000000)</f>
        <v/>
      </c>
      <c r="M744">
        <f>IF($K744="","",SUMIF($C$3:$C$1002,$K744,$G$3:$G$1002))</f>
        <v/>
      </c>
      <c r="N744">
        <f>IF($K744="","",COUNTIF($C$3:$C$1002,$K744))</f>
        <v/>
      </c>
      <c r="P744">
        <f>IF($A744="","",$A744*100000+ROW())</f>
        <v/>
      </c>
    </row>
    <row r="745" ht="18" customHeight="1">
      <c r="A745" s="60" t="n"/>
      <c r="B745" s="61">
        <f>IF(A745="","",TEXT(A745,"mmm yyyy"))</f>
        <v/>
      </c>
      <c r="C745" s="62" t="n"/>
      <c r="D745" s="62" t="n"/>
      <c r="E745" s="62" t="n"/>
      <c r="F745" s="62" t="n"/>
      <c r="G745" s="63" t="n"/>
      <c r="H745" s="62" t="n"/>
      <c r="K745">
        <f>IF($C745="","",IF(COUNTIF($C$3:$C745,$C745)=1,$C745,""))</f>
        <v/>
      </c>
      <c r="L745">
        <f>IF($K745="","",$M745+ROW()/10000000)</f>
        <v/>
      </c>
      <c r="M745">
        <f>IF($K745="","",SUMIF($C$3:$C$1002,$K745,$G$3:$G$1002))</f>
        <v/>
      </c>
      <c r="N745">
        <f>IF($K745="","",COUNTIF($C$3:$C$1002,$K745))</f>
        <v/>
      </c>
      <c r="P745">
        <f>IF($A745="","",$A745*100000+ROW())</f>
        <v/>
      </c>
    </row>
    <row r="746" ht="18" customHeight="1">
      <c r="A746" s="60" t="n"/>
      <c r="B746" s="61">
        <f>IF(A746="","",TEXT(A746,"mmm yyyy"))</f>
        <v/>
      </c>
      <c r="C746" s="62" t="n"/>
      <c r="D746" s="62" t="n"/>
      <c r="E746" s="62" t="n"/>
      <c r="F746" s="62" t="n"/>
      <c r="G746" s="63" t="n"/>
      <c r="H746" s="62" t="n"/>
      <c r="K746">
        <f>IF($C746="","",IF(COUNTIF($C$3:$C746,$C746)=1,$C746,""))</f>
        <v/>
      </c>
      <c r="L746">
        <f>IF($K746="","",$M746+ROW()/10000000)</f>
        <v/>
      </c>
      <c r="M746">
        <f>IF($K746="","",SUMIF($C$3:$C$1002,$K746,$G$3:$G$1002))</f>
        <v/>
      </c>
      <c r="N746">
        <f>IF($K746="","",COUNTIF($C$3:$C$1002,$K746))</f>
        <v/>
      </c>
      <c r="P746">
        <f>IF($A746="","",$A746*100000+ROW())</f>
        <v/>
      </c>
    </row>
    <row r="747" ht="18" customHeight="1">
      <c r="A747" s="60" t="n"/>
      <c r="B747" s="61">
        <f>IF(A747="","",TEXT(A747,"mmm yyyy"))</f>
        <v/>
      </c>
      <c r="C747" s="62" t="n"/>
      <c r="D747" s="62" t="n"/>
      <c r="E747" s="62" t="n"/>
      <c r="F747" s="62" t="n"/>
      <c r="G747" s="63" t="n"/>
      <c r="H747" s="62" t="n"/>
      <c r="K747">
        <f>IF($C747="","",IF(COUNTIF($C$3:$C747,$C747)=1,$C747,""))</f>
        <v/>
      </c>
      <c r="L747">
        <f>IF($K747="","",$M747+ROW()/10000000)</f>
        <v/>
      </c>
      <c r="M747">
        <f>IF($K747="","",SUMIF($C$3:$C$1002,$K747,$G$3:$G$1002))</f>
        <v/>
      </c>
      <c r="N747">
        <f>IF($K747="","",COUNTIF($C$3:$C$1002,$K747))</f>
        <v/>
      </c>
      <c r="P747">
        <f>IF($A747="","",$A747*100000+ROW())</f>
        <v/>
      </c>
    </row>
    <row r="748" ht="18" customHeight="1">
      <c r="A748" s="60" t="n"/>
      <c r="B748" s="61">
        <f>IF(A748="","",TEXT(A748,"mmm yyyy"))</f>
        <v/>
      </c>
      <c r="C748" s="62" t="n"/>
      <c r="D748" s="62" t="n"/>
      <c r="E748" s="62" t="n"/>
      <c r="F748" s="62" t="n"/>
      <c r="G748" s="63" t="n"/>
      <c r="H748" s="62" t="n"/>
      <c r="K748">
        <f>IF($C748="","",IF(COUNTIF($C$3:$C748,$C748)=1,$C748,""))</f>
        <v/>
      </c>
      <c r="L748">
        <f>IF($K748="","",$M748+ROW()/10000000)</f>
        <v/>
      </c>
      <c r="M748">
        <f>IF($K748="","",SUMIF($C$3:$C$1002,$K748,$G$3:$G$1002))</f>
        <v/>
      </c>
      <c r="N748">
        <f>IF($K748="","",COUNTIF($C$3:$C$1002,$K748))</f>
        <v/>
      </c>
      <c r="P748">
        <f>IF($A748="","",$A748*100000+ROW())</f>
        <v/>
      </c>
    </row>
    <row r="749" ht="18" customHeight="1">
      <c r="A749" s="60" t="n"/>
      <c r="B749" s="61">
        <f>IF(A749="","",TEXT(A749,"mmm yyyy"))</f>
        <v/>
      </c>
      <c r="C749" s="62" t="n"/>
      <c r="D749" s="62" t="n"/>
      <c r="E749" s="62" t="n"/>
      <c r="F749" s="62" t="n"/>
      <c r="G749" s="63" t="n"/>
      <c r="H749" s="62" t="n"/>
      <c r="K749">
        <f>IF($C749="","",IF(COUNTIF($C$3:$C749,$C749)=1,$C749,""))</f>
        <v/>
      </c>
      <c r="L749">
        <f>IF($K749="","",$M749+ROW()/10000000)</f>
        <v/>
      </c>
      <c r="M749">
        <f>IF($K749="","",SUMIF($C$3:$C$1002,$K749,$G$3:$G$1002))</f>
        <v/>
      </c>
      <c r="N749">
        <f>IF($K749="","",COUNTIF($C$3:$C$1002,$K749))</f>
        <v/>
      </c>
      <c r="P749">
        <f>IF($A749="","",$A749*100000+ROW())</f>
        <v/>
      </c>
    </row>
    <row r="750" ht="18" customHeight="1">
      <c r="A750" s="60" t="n"/>
      <c r="B750" s="61">
        <f>IF(A750="","",TEXT(A750,"mmm yyyy"))</f>
        <v/>
      </c>
      <c r="C750" s="62" t="n"/>
      <c r="D750" s="62" t="n"/>
      <c r="E750" s="62" t="n"/>
      <c r="F750" s="62" t="n"/>
      <c r="G750" s="63" t="n"/>
      <c r="H750" s="62" t="n"/>
      <c r="K750">
        <f>IF($C750="","",IF(COUNTIF($C$3:$C750,$C750)=1,$C750,""))</f>
        <v/>
      </c>
      <c r="L750">
        <f>IF($K750="","",$M750+ROW()/10000000)</f>
        <v/>
      </c>
      <c r="M750">
        <f>IF($K750="","",SUMIF($C$3:$C$1002,$K750,$G$3:$G$1002))</f>
        <v/>
      </c>
      <c r="N750">
        <f>IF($K750="","",COUNTIF($C$3:$C$1002,$K750))</f>
        <v/>
      </c>
      <c r="P750">
        <f>IF($A750="","",$A750*100000+ROW())</f>
        <v/>
      </c>
    </row>
    <row r="751" ht="18" customHeight="1">
      <c r="A751" s="60" t="n"/>
      <c r="B751" s="61">
        <f>IF(A751="","",TEXT(A751,"mmm yyyy"))</f>
        <v/>
      </c>
      <c r="C751" s="62" t="n"/>
      <c r="D751" s="62" t="n"/>
      <c r="E751" s="62" t="n"/>
      <c r="F751" s="62" t="n"/>
      <c r="G751" s="63" t="n"/>
      <c r="H751" s="62" t="n"/>
      <c r="K751">
        <f>IF($C751="","",IF(COUNTIF($C$3:$C751,$C751)=1,$C751,""))</f>
        <v/>
      </c>
      <c r="L751">
        <f>IF($K751="","",$M751+ROW()/10000000)</f>
        <v/>
      </c>
      <c r="M751">
        <f>IF($K751="","",SUMIF($C$3:$C$1002,$K751,$G$3:$G$1002))</f>
        <v/>
      </c>
      <c r="N751">
        <f>IF($K751="","",COUNTIF($C$3:$C$1002,$K751))</f>
        <v/>
      </c>
      <c r="P751">
        <f>IF($A751="","",$A751*100000+ROW())</f>
        <v/>
      </c>
    </row>
    <row r="752" ht="18" customHeight="1">
      <c r="A752" s="60" t="n"/>
      <c r="B752" s="61">
        <f>IF(A752="","",TEXT(A752,"mmm yyyy"))</f>
        <v/>
      </c>
      <c r="C752" s="62" t="n"/>
      <c r="D752" s="62" t="n"/>
      <c r="E752" s="62" t="n"/>
      <c r="F752" s="62" t="n"/>
      <c r="G752" s="63" t="n"/>
      <c r="H752" s="62" t="n"/>
      <c r="K752">
        <f>IF($C752="","",IF(COUNTIF($C$3:$C752,$C752)=1,$C752,""))</f>
        <v/>
      </c>
      <c r="L752">
        <f>IF($K752="","",$M752+ROW()/10000000)</f>
        <v/>
      </c>
      <c r="M752">
        <f>IF($K752="","",SUMIF($C$3:$C$1002,$K752,$G$3:$G$1002))</f>
        <v/>
      </c>
      <c r="N752">
        <f>IF($K752="","",COUNTIF($C$3:$C$1002,$K752))</f>
        <v/>
      </c>
      <c r="P752">
        <f>IF($A752="","",$A752*100000+ROW())</f>
        <v/>
      </c>
    </row>
    <row r="753" ht="18" customHeight="1">
      <c r="A753" s="60" t="n"/>
      <c r="B753" s="61">
        <f>IF(A753="","",TEXT(A753,"mmm yyyy"))</f>
        <v/>
      </c>
      <c r="C753" s="62" t="n"/>
      <c r="D753" s="62" t="n"/>
      <c r="E753" s="62" t="n"/>
      <c r="F753" s="62" t="n"/>
      <c r="G753" s="63" t="n"/>
      <c r="H753" s="62" t="n"/>
      <c r="K753">
        <f>IF($C753="","",IF(COUNTIF($C$3:$C753,$C753)=1,$C753,""))</f>
        <v/>
      </c>
      <c r="L753">
        <f>IF($K753="","",$M753+ROW()/10000000)</f>
        <v/>
      </c>
      <c r="M753">
        <f>IF($K753="","",SUMIF($C$3:$C$1002,$K753,$G$3:$G$1002))</f>
        <v/>
      </c>
      <c r="N753">
        <f>IF($K753="","",COUNTIF($C$3:$C$1002,$K753))</f>
        <v/>
      </c>
      <c r="P753">
        <f>IF($A753="","",$A753*100000+ROW())</f>
        <v/>
      </c>
    </row>
    <row r="754" ht="18" customHeight="1">
      <c r="A754" s="60" t="n"/>
      <c r="B754" s="61">
        <f>IF(A754="","",TEXT(A754,"mmm yyyy"))</f>
        <v/>
      </c>
      <c r="C754" s="62" t="n"/>
      <c r="D754" s="62" t="n"/>
      <c r="E754" s="62" t="n"/>
      <c r="F754" s="62" t="n"/>
      <c r="G754" s="63" t="n"/>
      <c r="H754" s="62" t="n"/>
      <c r="K754">
        <f>IF($C754="","",IF(COUNTIF($C$3:$C754,$C754)=1,$C754,""))</f>
        <v/>
      </c>
      <c r="L754">
        <f>IF($K754="","",$M754+ROW()/10000000)</f>
        <v/>
      </c>
      <c r="M754">
        <f>IF($K754="","",SUMIF($C$3:$C$1002,$K754,$G$3:$G$1002))</f>
        <v/>
      </c>
      <c r="N754">
        <f>IF($K754="","",COUNTIF($C$3:$C$1002,$K754))</f>
        <v/>
      </c>
      <c r="P754">
        <f>IF($A754="","",$A754*100000+ROW())</f>
        <v/>
      </c>
    </row>
    <row r="755" ht="18" customHeight="1">
      <c r="A755" s="60" t="n"/>
      <c r="B755" s="61">
        <f>IF(A755="","",TEXT(A755,"mmm yyyy"))</f>
        <v/>
      </c>
      <c r="C755" s="62" t="n"/>
      <c r="D755" s="62" t="n"/>
      <c r="E755" s="62" t="n"/>
      <c r="F755" s="62" t="n"/>
      <c r="G755" s="63" t="n"/>
      <c r="H755" s="62" t="n"/>
      <c r="K755">
        <f>IF($C755="","",IF(COUNTIF($C$3:$C755,$C755)=1,$C755,""))</f>
        <v/>
      </c>
      <c r="L755">
        <f>IF($K755="","",$M755+ROW()/10000000)</f>
        <v/>
      </c>
      <c r="M755">
        <f>IF($K755="","",SUMIF($C$3:$C$1002,$K755,$G$3:$G$1002))</f>
        <v/>
      </c>
      <c r="N755">
        <f>IF($K755="","",COUNTIF($C$3:$C$1002,$K755))</f>
        <v/>
      </c>
      <c r="P755">
        <f>IF($A755="","",$A755*100000+ROW())</f>
        <v/>
      </c>
    </row>
    <row r="756" ht="18" customHeight="1">
      <c r="A756" s="60" t="n"/>
      <c r="B756" s="61">
        <f>IF(A756="","",TEXT(A756,"mmm yyyy"))</f>
        <v/>
      </c>
      <c r="C756" s="62" t="n"/>
      <c r="D756" s="62" t="n"/>
      <c r="E756" s="62" t="n"/>
      <c r="F756" s="62" t="n"/>
      <c r="G756" s="63" t="n"/>
      <c r="H756" s="62" t="n"/>
      <c r="K756">
        <f>IF($C756="","",IF(COUNTIF($C$3:$C756,$C756)=1,$C756,""))</f>
        <v/>
      </c>
      <c r="L756">
        <f>IF($K756="","",$M756+ROW()/10000000)</f>
        <v/>
      </c>
      <c r="M756">
        <f>IF($K756="","",SUMIF($C$3:$C$1002,$K756,$G$3:$G$1002))</f>
        <v/>
      </c>
      <c r="N756">
        <f>IF($K756="","",COUNTIF($C$3:$C$1002,$K756))</f>
        <v/>
      </c>
      <c r="P756">
        <f>IF($A756="","",$A756*100000+ROW())</f>
        <v/>
      </c>
    </row>
    <row r="757" ht="18" customHeight="1">
      <c r="A757" s="60" t="n"/>
      <c r="B757" s="61">
        <f>IF(A757="","",TEXT(A757,"mmm yyyy"))</f>
        <v/>
      </c>
      <c r="C757" s="62" t="n"/>
      <c r="D757" s="62" t="n"/>
      <c r="E757" s="62" t="n"/>
      <c r="F757" s="62" t="n"/>
      <c r="G757" s="63" t="n"/>
      <c r="H757" s="62" t="n"/>
      <c r="K757">
        <f>IF($C757="","",IF(COUNTIF($C$3:$C757,$C757)=1,$C757,""))</f>
        <v/>
      </c>
      <c r="L757">
        <f>IF($K757="","",$M757+ROW()/10000000)</f>
        <v/>
      </c>
      <c r="M757">
        <f>IF($K757="","",SUMIF($C$3:$C$1002,$K757,$G$3:$G$1002))</f>
        <v/>
      </c>
      <c r="N757">
        <f>IF($K757="","",COUNTIF($C$3:$C$1002,$K757))</f>
        <v/>
      </c>
      <c r="P757">
        <f>IF($A757="","",$A757*100000+ROW())</f>
        <v/>
      </c>
    </row>
    <row r="758" ht="18" customHeight="1">
      <c r="A758" s="60" t="n"/>
      <c r="B758" s="61">
        <f>IF(A758="","",TEXT(A758,"mmm yyyy"))</f>
        <v/>
      </c>
      <c r="C758" s="62" t="n"/>
      <c r="D758" s="62" t="n"/>
      <c r="E758" s="62" t="n"/>
      <c r="F758" s="62" t="n"/>
      <c r="G758" s="63" t="n"/>
      <c r="H758" s="62" t="n"/>
      <c r="K758">
        <f>IF($C758="","",IF(COUNTIF($C$3:$C758,$C758)=1,$C758,""))</f>
        <v/>
      </c>
      <c r="L758">
        <f>IF($K758="","",$M758+ROW()/10000000)</f>
        <v/>
      </c>
      <c r="M758">
        <f>IF($K758="","",SUMIF($C$3:$C$1002,$K758,$G$3:$G$1002))</f>
        <v/>
      </c>
      <c r="N758">
        <f>IF($K758="","",COUNTIF($C$3:$C$1002,$K758))</f>
        <v/>
      </c>
      <c r="P758">
        <f>IF($A758="","",$A758*100000+ROW())</f>
        <v/>
      </c>
    </row>
    <row r="759" ht="18" customHeight="1">
      <c r="A759" s="60" t="n"/>
      <c r="B759" s="61">
        <f>IF(A759="","",TEXT(A759,"mmm yyyy"))</f>
        <v/>
      </c>
      <c r="C759" s="62" t="n"/>
      <c r="D759" s="62" t="n"/>
      <c r="E759" s="62" t="n"/>
      <c r="F759" s="62" t="n"/>
      <c r="G759" s="63" t="n"/>
      <c r="H759" s="62" t="n"/>
      <c r="K759">
        <f>IF($C759="","",IF(COUNTIF($C$3:$C759,$C759)=1,$C759,""))</f>
        <v/>
      </c>
      <c r="L759">
        <f>IF($K759="","",$M759+ROW()/10000000)</f>
        <v/>
      </c>
      <c r="M759">
        <f>IF($K759="","",SUMIF($C$3:$C$1002,$K759,$G$3:$G$1002))</f>
        <v/>
      </c>
      <c r="N759">
        <f>IF($K759="","",COUNTIF($C$3:$C$1002,$K759))</f>
        <v/>
      </c>
      <c r="P759">
        <f>IF($A759="","",$A759*100000+ROW())</f>
        <v/>
      </c>
    </row>
    <row r="760" ht="18" customHeight="1">
      <c r="A760" s="60" t="n"/>
      <c r="B760" s="61">
        <f>IF(A760="","",TEXT(A760,"mmm yyyy"))</f>
        <v/>
      </c>
      <c r="C760" s="62" t="n"/>
      <c r="D760" s="62" t="n"/>
      <c r="E760" s="62" t="n"/>
      <c r="F760" s="62" t="n"/>
      <c r="G760" s="63" t="n"/>
      <c r="H760" s="62" t="n"/>
      <c r="K760">
        <f>IF($C760="","",IF(COUNTIF($C$3:$C760,$C760)=1,$C760,""))</f>
        <v/>
      </c>
      <c r="L760">
        <f>IF($K760="","",$M760+ROW()/10000000)</f>
        <v/>
      </c>
      <c r="M760">
        <f>IF($K760="","",SUMIF($C$3:$C$1002,$K760,$G$3:$G$1002))</f>
        <v/>
      </c>
      <c r="N760">
        <f>IF($K760="","",COUNTIF($C$3:$C$1002,$K760))</f>
        <v/>
      </c>
      <c r="P760">
        <f>IF($A760="","",$A760*100000+ROW())</f>
        <v/>
      </c>
    </row>
    <row r="761" ht="18" customHeight="1">
      <c r="A761" s="60" t="n"/>
      <c r="B761" s="61">
        <f>IF(A761="","",TEXT(A761,"mmm yyyy"))</f>
        <v/>
      </c>
      <c r="C761" s="62" t="n"/>
      <c r="D761" s="62" t="n"/>
      <c r="E761" s="62" t="n"/>
      <c r="F761" s="62" t="n"/>
      <c r="G761" s="63" t="n"/>
      <c r="H761" s="62" t="n"/>
      <c r="K761">
        <f>IF($C761="","",IF(COUNTIF($C$3:$C761,$C761)=1,$C761,""))</f>
        <v/>
      </c>
      <c r="L761">
        <f>IF($K761="","",$M761+ROW()/10000000)</f>
        <v/>
      </c>
      <c r="M761">
        <f>IF($K761="","",SUMIF($C$3:$C$1002,$K761,$G$3:$G$1002))</f>
        <v/>
      </c>
      <c r="N761">
        <f>IF($K761="","",COUNTIF($C$3:$C$1002,$K761))</f>
        <v/>
      </c>
      <c r="P761">
        <f>IF($A761="","",$A761*100000+ROW())</f>
        <v/>
      </c>
    </row>
    <row r="762" ht="18" customHeight="1">
      <c r="A762" s="60" t="n"/>
      <c r="B762" s="61">
        <f>IF(A762="","",TEXT(A762,"mmm yyyy"))</f>
        <v/>
      </c>
      <c r="C762" s="62" t="n"/>
      <c r="D762" s="62" t="n"/>
      <c r="E762" s="62" t="n"/>
      <c r="F762" s="62" t="n"/>
      <c r="G762" s="63" t="n"/>
      <c r="H762" s="62" t="n"/>
      <c r="K762">
        <f>IF($C762="","",IF(COUNTIF($C$3:$C762,$C762)=1,$C762,""))</f>
        <v/>
      </c>
      <c r="L762">
        <f>IF($K762="","",$M762+ROW()/10000000)</f>
        <v/>
      </c>
      <c r="M762">
        <f>IF($K762="","",SUMIF($C$3:$C$1002,$K762,$G$3:$G$1002))</f>
        <v/>
      </c>
      <c r="N762">
        <f>IF($K762="","",COUNTIF($C$3:$C$1002,$K762))</f>
        <v/>
      </c>
      <c r="P762">
        <f>IF($A762="","",$A762*100000+ROW())</f>
        <v/>
      </c>
    </row>
    <row r="763" ht="18" customHeight="1">
      <c r="A763" s="60" t="n"/>
      <c r="B763" s="61">
        <f>IF(A763="","",TEXT(A763,"mmm yyyy"))</f>
        <v/>
      </c>
      <c r="C763" s="62" t="n"/>
      <c r="D763" s="62" t="n"/>
      <c r="E763" s="62" t="n"/>
      <c r="F763" s="62" t="n"/>
      <c r="G763" s="63" t="n"/>
      <c r="H763" s="62" t="n"/>
      <c r="K763">
        <f>IF($C763="","",IF(COUNTIF($C$3:$C763,$C763)=1,$C763,""))</f>
        <v/>
      </c>
      <c r="L763">
        <f>IF($K763="","",$M763+ROW()/10000000)</f>
        <v/>
      </c>
      <c r="M763">
        <f>IF($K763="","",SUMIF($C$3:$C$1002,$K763,$G$3:$G$1002))</f>
        <v/>
      </c>
      <c r="N763">
        <f>IF($K763="","",COUNTIF($C$3:$C$1002,$K763))</f>
        <v/>
      </c>
      <c r="P763">
        <f>IF($A763="","",$A763*100000+ROW())</f>
        <v/>
      </c>
    </row>
    <row r="764" ht="18" customHeight="1">
      <c r="A764" s="60" t="n"/>
      <c r="B764" s="61">
        <f>IF(A764="","",TEXT(A764,"mmm yyyy"))</f>
        <v/>
      </c>
      <c r="C764" s="62" t="n"/>
      <c r="D764" s="62" t="n"/>
      <c r="E764" s="62" t="n"/>
      <c r="F764" s="62" t="n"/>
      <c r="G764" s="63" t="n"/>
      <c r="H764" s="62" t="n"/>
      <c r="K764">
        <f>IF($C764="","",IF(COUNTIF($C$3:$C764,$C764)=1,$C764,""))</f>
        <v/>
      </c>
      <c r="L764">
        <f>IF($K764="","",$M764+ROW()/10000000)</f>
        <v/>
      </c>
      <c r="M764">
        <f>IF($K764="","",SUMIF($C$3:$C$1002,$K764,$G$3:$G$1002))</f>
        <v/>
      </c>
      <c r="N764">
        <f>IF($K764="","",COUNTIF($C$3:$C$1002,$K764))</f>
        <v/>
      </c>
      <c r="P764">
        <f>IF($A764="","",$A764*100000+ROW())</f>
        <v/>
      </c>
    </row>
    <row r="765" ht="18" customHeight="1">
      <c r="A765" s="60" t="n"/>
      <c r="B765" s="61">
        <f>IF(A765="","",TEXT(A765,"mmm yyyy"))</f>
        <v/>
      </c>
      <c r="C765" s="62" t="n"/>
      <c r="D765" s="62" t="n"/>
      <c r="E765" s="62" t="n"/>
      <c r="F765" s="62" t="n"/>
      <c r="G765" s="63" t="n"/>
      <c r="H765" s="62" t="n"/>
      <c r="K765">
        <f>IF($C765="","",IF(COUNTIF($C$3:$C765,$C765)=1,$C765,""))</f>
        <v/>
      </c>
      <c r="L765">
        <f>IF($K765="","",$M765+ROW()/10000000)</f>
        <v/>
      </c>
      <c r="M765">
        <f>IF($K765="","",SUMIF($C$3:$C$1002,$K765,$G$3:$G$1002))</f>
        <v/>
      </c>
      <c r="N765">
        <f>IF($K765="","",COUNTIF($C$3:$C$1002,$K765))</f>
        <v/>
      </c>
      <c r="P765">
        <f>IF($A765="","",$A765*100000+ROW())</f>
        <v/>
      </c>
    </row>
    <row r="766" ht="18" customHeight="1">
      <c r="A766" s="60" t="n"/>
      <c r="B766" s="61">
        <f>IF(A766="","",TEXT(A766,"mmm yyyy"))</f>
        <v/>
      </c>
      <c r="C766" s="62" t="n"/>
      <c r="D766" s="62" t="n"/>
      <c r="E766" s="62" t="n"/>
      <c r="F766" s="62" t="n"/>
      <c r="G766" s="63" t="n"/>
      <c r="H766" s="62" t="n"/>
      <c r="K766">
        <f>IF($C766="","",IF(COUNTIF($C$3:$C766,$C766)=1,$C766,""))</f>
        <v/>
      </c>
      <c r="L766">
        <f>IF($K766="","",$M766+ROW()/10000000)</f>
        <v/>
      </c>
      <c r="M766">
        <f>IF($K766="","",SUMIF($C$3:$C$1002,$K766,$G$3:$G$1002))</f>
        <v/>
      </c>
      <c r="N766">
        <f>IF($K766="","",COUNTIF($C$3:$C$1002,$K766))</f>
        <v/>
      </c>
      <c r="P766">
        <f>IF($A766="","",$A766*100000+ROW())</f>
        <v/>
      </c>
    </row>
    <row r="767" ht="18" customHeight="1">
      <c r="A767" s="60" t="n"/>
      <c r="B767" s="61">
        <f>IF(A767="","",TEXT(A767,"mmm yyyy"))</f>
        <v/>
      </c>
      <c r="C767" s="62" t="n"/>
      <c r="D767" s="62" t="n"/>
      <c r="E767" s="62" t="n"/>
      <c r="F767" s="62" t="n"/>
      <c r="G767" s="63" t="n"/>
      <c r="H767" s="62" t="n"/>
      <c r="K767">
        <f>IF($C767="","",IF(COUNTIF($C$3:$C767,$C767)=1,$C767,""))</f>
        <v/>
      </c>
      <c r="L767">
        <f>IF($K767="","",$M767+ROW()/10000000)</f>
        <v/>
      </c>
      <c r="M767">
        <f>IF($K767="","",SUMIF($C$3:$C$1002,$K767,$G$3:$G$1002))</f>
        <v/>
      </c>
      <c r="N767">
        <f>IF($K767="","",COUNTIF($C$3:$C$1002,$K767))</f>
        <v/>
      </c>
      <c r="P767">
        <f>IF($A767="","",$A767*100000+ROW())</f>
        <v/>
      </c>
    </row>
    <row r="768" ht="18" customHeight="1">
      <c r="A768" s="60" t="n"/>
      <c r="B768" s="61">
        <f>IF(A768="","",TEXT(A768,"mmm yyyy"))</f>
        <v/>
      </c>
      <c r="C768" s="62" t="n"/>
      <c r="D768" s="62" t="n"/>
      <c r="E768" s="62" t="n"/>
      <c r="F768" s="62" t="n"/>
      <c r="G768" s="63" t="n"/>
      <c r="H768" s="62" t="n"/>
      <c r="K768">
        <f>IF($C768="","",IF(COUNTIF($C$3:$C768,$C768)=1,$C768,""))</f>
        <v/>
      </c>
      <c r="L768">
        <f>IF($K768="","",$M768+ROW()/10000000)</f>
        <v/>
      </c>
      <c r="M768">
        <f>IF($K768="","",SUMIF($C$3:$C$1002,$K768,$G$3:$G$1002))</f>
        <v/>
      </c>
      <c r="N768">
        <f>IF($K768="","",COUNTIF($C$3:$C$1002,$K768))</f>
        <v/>
      </c>
      <c r="P768">
        <f>IF($A768="","",$A768*100000+ROW())</f>
        <v/>
      </c>
    </row>
    <row r="769" ht="18" customHeight="1">
      <c r="A769" s="60" t="n"/>
      <c r="B769" s="61">
        <f>IF(A769="","",TEXT(A769,"mmm yyyy"))</f>
        <v/>
      </c>
      <c r="C769" s="62" t="n"/>
      <c r="D769" s="62" t="n"/>
      <c r="E769" s="62" t="n"/>
      <c r="F769" s="62" t="n"/>
      <c r="G769" s="63" t="n"/>
      <c r="H769" s="62" t="n"/>
      <c r="K769">
        <f>IF($C769="","",IF(COUNTIF($C$3:$C769,$C769)=1,$C769,""))</f>
        <v/>
      </c>
      <c r="L769">
        <f>IF($K769="","",$M769+ROW()/10000000)</f>
        <v/>
      </c>
      <c r="M769">
        <f>IF($K769="","",SUMIF($C$3:$C$1002,$K769,$G$3:$G$1002))</f>
        <v/>
      </c>
      <c r="N769">
        <f>IF($K769="","",COUNTIF($C$3:$C$1002,$K769))</f>
        <v/>
      </c>
      <c r="P769">
        <f>IF($A769="","",$A769*100000+ROW())</f>
        <v/>
      </c>
    </row>
    <row r="770" ht="18" customHeight="1">
      <c r="A770" s="60" t="n"/>
      <c r="B770" s="61">
        <f>IF(A770="","",TEXT(A770,"mmm yyyy"))</f>
        <v/>
      </c>
      <c r="C770" s="62" t="n"/>
      <c r="D770" s="62" t="n"/>
      <c r="E770" s="62" t="n"/>
      <c r="F770" s="62" t="n"/>
      <c r="G770" s="63" t="n"/>
      <c r="H770" s="62" t="n"/>
      <c r="K770">
        <f>IF($C770="","",IF(COUNTIF($C$3:$C770,$C770)=1,$C770,""))</f>
        <v/>
      </c>
      <c r="L770">
        <f>IF($K770="","",$M770+ROW()/10000000)</f>
        <v/>
      </c>
      <c r="M770">
        <f>IF($K770="","",SUMIF($C$3:$C$1002,$K770,$G$3:$G$1002))</f>
        <v/>
      </c>
      <c r="N770">
        <f>IF($K770="","",COUNTIF($C$3:$C$1002,$K770))</f>
        <v/>
      </c>
      <c r="P770">
        <f>IF($A770="","",$A770*100000+ROW())</f>
        <v/>
      </c>
    </row>
    <row r="771" ht="18" customHeight="1">
      <c r="A771" s="60" t="n"/>
      <c r="B771" s="61">
        <f>IF(A771="","",TEXT(A771,"mmm yyyy"))</f>
        <v/>
      </c>
      <c r="C771" s="62" t="n"/>
      <c r="D771" s="62" t="n"/>
      <c r="E771" s="62" t="n"/>
      <c r="F771" s="62" t="n"/>
      <c r="G771" s="63" t="n"/>
      <c r="H771" s="62" t="n"/>
      <c r="K771">
        <f>IF($C771="","",IF(COUNTIF($C$3:$C771,$C771)=1,$C771,""))</f>
        <v/>
      </c>
      <c r="L771">
        <f>IF($K771="","",$M771+ROW()/10000000)</f>
        <v/>
      </c>
      <c r="M771">
        <f>IF($K771="","",SUMIF($C$3:$C$1002,$K771,$G$3:$G$1002))</f>
        <v/>
      </c>
      <c r="N771">
        <f>IF($K771="","",COUNTIF($C$3:$C$1002,$K771))</f>
        <v/>
      </c>
      <c r="P771">
        <f>IF($A771="","",$A771*100000+ROW())</f>
        <v/>
      </c>
    </row>
    <row r="772" ht="18" customHeight="1">
      <c r="A772" s="60" t="n"/>
      <c r="B772" s="61">
        <f>IF(A772="","",TEXT(A772,"mmm yyyy"))</f>
        <v/>
      </c>
      <c r="C772" s="62" t="n"/>
      <c r="D772" s="62" t="n"/>
      <c r="E772" s="62" t="n"/>
      <c r="F772" s="62" t="n"/>
      <c r="G772" s="63" t="n"/>
      <c r="H772" s="62" t="n"/>
      <c r="K772">
        <f>IF($C772="","",IF(COUNTIF($C$3:$C772,$C772)=1,$C772,""))</f>
        <v/>
      </c>
      <c r="L772">
        <f>IF($K772="","",$M772+ROW()/10000000)</f>
        <v/>
      </c>
      <c r="M772">
        <f>IF($K772="","",SUMIF($C$3:$C$1002,$K772,$G$3:$G$1002))</f>
        <v/>
      </c>
      <c r="N772">
        <f>IF($K772="","",COUNTIF($C$3:$C$1002,$K772))</f>
        <v/>
      </c>
      <c r="P772">
        <f>IF($A772="","",$A772*100000+ROW())</f>
        <v/>
      </c>
    </row>
    <row r="773" ht="18" customHeight="1">
      <c r="A773" s="60" t="n"/>
      <c r="B773" s="61">
        <f>IF(A773="","",TEXT(A773,"mmm yyyy"))</f>
        <v/>
      </c>
      <c r="C773" s="62" t="n"/>
      <c r="D773" s="62" t="n"/>
      <c r="E773" s="62" t="n"/>
      <c r="F773" s="62" t="n"/>
      <c r="G773" s="63" t="n"/>
      <c r="H773" s="62" t="n"/>
      <c r="K773">
        <f>IF($C773="","",IF(COUNTIF($C$3:$C773,$C773)=1,$C773,""))</f>
        <v/>
      </c>
      <c r="L773">
        <f>IF($K773="","",$M773+ROW()/10000000)</f>
        <v/>
      </c>
      <c r="M773">
        <f>IF($K773="","",SUMIF($C$3:$C$1002,$K773,$G$3:$G$1002))</f>
        <v/>
      </c>
      <c r="N773">
        <f>IF($K773="","",COUNTIF($C$3:$C$1002,$K773))</f>
        <v/>
      </c>
      <c r="P773">
        <f>IF($A773="","",$A773*100000+ROW())</f>
        <v/>
      </c>
    </row>
    <row r="774" ht="18" customHeight="1">
      <c r="A774" s="60" t="n"/>
      <c r="B774" s="61">
        <f>IF(A774="","",TEXT(A774,"mmm yyyy"))</f>
        <v/>
      </c>
      <c r="C774" s="62" t="n"/>
      <c r="D774" s="62" t="n"/>
      <c r="E774" s="62" t="n"/>
      <c r="F774" s="62" t="n"/>
      <c r="G774" s="63" t="n"/>
      <c r="H774" s="62" t="n"/>
      <c r="K774">
        <f>IF($C774="","",IF(COUNTIF($C$3:$C774,$C774)=1,$C774,""))</f>
        <v/>
      </c>
      <c r="L774">
        <f>IF($K774="","",$M774+ROW()/10000000)</f>
        <v/>
      </c>
      <c r="M774">
        <f>IF($K774="","",SUMIF($C$3:$C$1002,$K774,$G$3:$G$1002))</f>
        <v/>
      </c>
      <c r="N774">
        <f>IF($K774="","",COUNTIF($C$3:$C$1002,$K774))</f>
        <v/>
      </c>
      <c r="P774">
        <f>IF($A774="","",$A774*100000+ROW())</f>
        <v/>
      </c>
    </row>
    <row r="775" ht="18" customHeight="1">
      <c r="A775" s="60" t="n"/>
      <c r="B775" s="61">
        <f>IF(A775="","",TEXT(A775,"mmm yyyy"))</f>
        <v/>
      </c>
      <c r="C775" s="62" t="n"/>
      <c r="D775" s="62" t="n"/>
      <c r="E775" s="62" t="n"/>
      <c r="F775" s="62" t="n"/>
      <c r="G775" s="63" t="n"/>
      <c r="H775" s="62" t="n"/>
      <c r="K775">
        <f>IF($C775="","",IF(COUNTIF($C$3:$C775,$C775)=1,$C775,""))</f>
        <v/>
      </c>
      <c r="L775">
        <f>IF($K775="","",$M775+ROW()/10000000)</f>
        <v/>
      </c>
      <c r="M775">
        <f>IF($K775="","",SUMIF($C$3:$C$1002,$K775,$G$3:$G$1002))</f>
        <v/>
      </c>
      <c r="N775">
        <f>IF($K775="","",COUNTIF($C$3:$C$1002,$K775))</f>
        <v/>
      </c>
      <c r="P775">
        <f>IF($A775="","",$A775*100000+ROW())</f>
        <v/>
      </c>
    </row>
    <row r="776" ht="18" customHeight="1">
      <c r="A776" s="60" t="n"/>
      <c r="B776" s="61">
        <f>IF(A776="","",TEXT(A776,"mmm yyyy"))</f>
        <v/>
      </c>
      <c r="C776" s="62" t="n"/>
      <c r="D776" s="62" t="n"/>
      <c r="E776" s="62" t="n"/>
      <c r="F776" s="62" t="n"/>
      <c r="G776" s="63" t="n"/>
      <c r="H776" s="62" t="n"/>
      <c r="K776">
        <f>IF($C776="","",IF(COUNTIF($C$3:$C776,$C776)=1,$C776,""))</f>
        <v/>
      </c>
      <c r="L776">
        <f>IF($K776="","",$M776+ROW()/10000000)</f>
        <v/>
      </c>
      <c r="M776">
        <f>IF($K776="","",SUMIF($C$3:$C$1002,$K776,$G$3:$G$1002))</f>
        <v/>
      </c>
      <c r="N776">
        <f>IF($K776="","",COUNTIF($C$3:$C$1002,$K776))</f>
        <v/>
      </c>
      <c r="P776">
        <f>IF($A776="","",$A776*100000+ROW())</f>
        <v/>
      </c>
    </row>
    <row r="777" ht="18" customHeight="1">
      <c r="A777" s="60" t="n"/>
      <c r="B777" s="61">
        <f>IF(A777="","",TEXT(A777,"mmm yyyy"))</f>
        <v/>
      </c>
      <c r="C777" s="62" t="n"/>
      <c r="D777" s="62" t="n"/>
      <c r="E777" s="62" t="n"/>
      <c r="F777" s="62" t="n"/>
      <c r="G777" s="63" t="n"/>
      <c r="H777" s="62" t="n"/>
      <c r="K777">
        <f>IF($C777="","",IF(COUNTIF($C$3:$C777,$C777)=1,$C777,""))</f>
        <v/>
      </c>
      <c r="L777">
        <f>IF($K777="","",$M777+ROW()/10000000)</f>
        <v/>
      </c>
      <c r="M777">
        <f>IF($K777="","",SUMIF($C$3:$C$1002,$K777,$G$3:$G$1002))</f>
        <v/>
      </c>
      <c r="N777">
        <f>IF($K777="","",COUNTIF($C$3:$C$1002,$K777))</f>
        <v/>
      </c>
      <c r="P777">
        <f>IF($A777="","",$A777*100000+ROW())</f>
        <v/>
      </c>
    </row>
    <row r="778" ht="18" customHeight="1">
      <c r="A778" s="60" t="n"/>
      <c r="B778" s="61">
        <f>IF(A778="","",TEXT(A778,"mmm yyyy"))</f>
        <v/>
      </c>
      <c r="C778" s="62" t="n"/>
      <c r="D778" s="62" t="n"/>
      <c r="E778" s="62" t="n"/>
      <c r="F778" s="62" t="n"/>
      <c r="G778" s="63" t="n"/>
      <c r="H778" s="62" t="n"/>
      <c r="K778">
        <f>IF($C778="","",IF(COUNTIF($C$3:$C778,$C778)=1,$C778,""))</f>
        <v/>
      </c>
      <c r="L778">
        <f>IF($K778="","",$M778+ROW()/10000000)</f>
        <v/>
      </c>
      <c r="M778">
        <f>IF($K778="","",SUMIF($C$3:$C$1002,$K778,$G$3:$G$1002))</f>
        <v/>
      </c>
      <c r="N778">
        <f>IF($K778="","",COUNTIF($C$3:$C$1002,$K778))</f>
        <v/>
      </c>
      <c r="P778">
        <f>IF($A778="","",$A778*100000+ROW())</f>
        <v/>
      </c>
    </row>
    <row r="779" ht="18" customHeight="1">
      <c r="A779" s="60" t="n"/>
      <c r="B779" s="61">
        <f>IF(A779="","",TEXT(A779,"mmm yyyy"))</f>
        <v/>
      </c>
      <c r="C779" s="62" t="n"/>
      <c r="D779" s="62" t="n"/>
      <c r="E779" s="62" t="n"/>
      <c r="F779" s="62" t="n"/>
      <c r="G779" s="63" t="n"/>
      <c r="H779" s="62" t="n"/>
      <c r="K779">
        <f>IF($C779="","",IF(COUNTIF($C$3:$C779,$C779)=1,$C779,""))</f>
        <v/>
      </c>
      <c r="L779">
        <f>IF($K779="","",$M779+ROW()/10000000)</f>
        <v/>
      </c>
      <c r="M779">
        <f>IF($K779="","",SUMIF($C$3:$C$1002,$K779,$G$3:$G$1002))</f>
        <v/>
      </c>
      <c r="N779">
        <f>IF($K779="","",COUNTIF($C$3:$C$1002,$K779))</f>
        <v/>
      </c>
      <c r="P779">
        <f>IF($A779="","",$A779*100000+ROW())</f>
        <v/>
      </c>
    </row>
    <row r="780" ht="18" customHeight="1">
      <c r="A780" s="60" t="n"/>
      <c r="B780" s="61">
        <f>IF(A780="","",TEXT(A780,"mmm yyyy"))</f>
        <v/>
      </c>
      <c r="C780" s="62" t="n"/>
      <c r="D780" s="62" t="n"/>
      <c r="E780" s="62" t="n"/>
      <c r="F780" s="62" t="n"/>
      <c r="G780" s="63" t="n"/>
      <c r="H780" s="62" t="n"/>
      <c r="K780">
        <f>IF($C780="","",IF(COUNTIF($C$3:$C780,$C780)=1,$C780,""))</f>
        <v/>
      </c>
      <c r="L780">
        <f>IF($K780="","",$M780+ROW()/10000000)</f>
        <v/>
      </c>
      <c r="M780">
        <f>IF($K780="","",SUMIF($C$3:$C$1002,$K780,$G$3:$G$1002))</f>
        <v/>
      </c>
      <c r="N780">
        <f>IF($K780="","",COUNTIF($C$3:$C$1002,$K780))</f>
        <v/>
      </c>
      <c r="P780">
        <f>IF($A780="","",$A780*100000+ROW())</f>
        <v/>
      </c>
    </row>
    <row r="781" ht="18" customHeight="1">
      <c r="A781" s="60" t="n"/>
      <c r="B781" s="61">
        <f>IF(A781="","",TEXT(A781,"mmm yyyy"))</f>
        <v/>
      </c>
      <c r="C781" s="62" t="n"/>
      <c r="D781" s="62" t="n"/>
      <c r="E781" s="62" t="n"/>
      <c r="F781" s="62" t="n"/>
      <c r="G781" s="63" t="n"/>
      <c r="H781" s="62" t="n"/>
      <c r="K781">
        <f>IF($C781="","",IF(COUNTIF($C$3:$C781,$C781)=1,$C781,""))</f>
        <v/>
      </c>
      <c r="L781">
        <f>IF($K781="","",$M781+ROW()/10000000)</f>
        <v/>
      </c>
      <c r="M781">
        <f>IF($K781="","",SUMIF($C$3:$C$1002,$K781,$G$3:$G$1002))</f>
        <v/>
      </c>
      <c r="N781">
        <f>IF($K781="","",COUNTIF($C$3:$C$1002,$K781))</f>
        <v/>
      </c>
      <c r="P781">
        <f>IF($A781="","",$A781*100000+ROW())</f>
        <v/>
      </c>
    </row>
    <row r="782" ht="18" customHeight="1">
      <c r="A782" s="60" t="n"/>
      <c r="B782" s="61">
        <f>IF(A782="","",TEXT(A782,"mmm yyyy"))</f>
        <v/>
      </c>
      <c r="C782" s="62" t="n"/>
      <c r="D782" s="62" t="n"/>
      <c r="E782" s="62" t="n"/>
      <c r="F782" s="62" t="n"/>
      <c r="G782" s="63" t="n"/>
      <c r="H782" s="62" t="n"/>
      <c r="K782">
        <f>IF($C782="","",IF(COUNTIF($C$3:$C782,$C782)=1,$C782,""))</f>
        <v/>
      </c>
      <c r="L782">
        <f>IF($K782="","",$M782+ROW()/10000000)</f>
        <v/>
      </c>
      <c r="M782">
        <f>IF($K782="","",SUMIF($C$3:$C$1002,$K782,$G$3:$G$1002))</f>
        <v/>
      </c>
      <c r="N782">
        <f>IF($K782="","",COUNTIF($C$3:$C$1002,$K782))</f>
        <v/>
      </c>
      <c r="P782">
        <f>IF($A782="","",$A782*100000+ROW())</f>
        <v/>
      </c>
    </row>
    <row r="783" ht="18" customHeight="1">
      <c r="A783" s="60" t="n"/>
      <c r="B783" s="61">
        <f>IF(A783="","",TEXT(A783,"mmm yyyy"))</f>
        <v/>
      </c>
      <c r="C783" s="62" t="n"/>
      <c r="D783" s="62" t="n"/>
      <c r="E783" s="62" t="n"/>
      <c r="F783" s="62" t="n"/>
      <c r="G783" s="63" t="n"/>
      <c r="H783" s="62" t="n"/>
      <c r="K783">
        <f>IF($C783="","",IF(COUNTIF($C$3:$C783,$C783)=1,$C783,""))</f>
        <v/>
      </c>
      <c r="L783">
        <f>IF($K783="","",$M783+ROW()/10000000)</f>
        <v/>
      </c>
      <c r="M783">
        <f>IF($K783="","",SUMIF($C$3:$C$1002,$K783,$G$3:$G$1002))</f>
        <v/>
      </c>
      <c r="N783">
        <f>IF($K783="","",COUNTIF($C$3:$C$1002,$K783))</f>
        <v/>
      </c>
      <c r="P783">
        <f>IF($A783="","",$A783*100000+ROW())</f>
        <v/>
      </c>
    </row>
    <row r="784" ht="18" customHeight="1">
      <c r="A784" s="60" t="n"/>
      <c r="B784" s="61">
        <f>IF(A784="","",TEXT(A784,"mmm yyyy"))</f>
        <v/>
      </c>
      <c r="C784" s="62" t="n"/>
      <c r="D784" s="62" t="n"/>
      <c r="E784" s="62" t="n"/>
      <c r="F784" s="62" t="n"/>
      <c r="G784" s="63" t="n"/>
      <c r="H784" s="62" t="n"/>
      <c r="K784">
        <f>IF($C784="","",IF(COUNTIF($C$3:$C784,$C784)=1,$C784,""))</f>
        <v/>
      </c>
      <c r="L784">
        <f>IF($K784="","",$M784+ROW()/10000000)</f>
        <v/>
      </c>
      <c r="M784">
        <f>IF($K784="","",SUMIF($C$3:$C$1002,$K784,$G$3:$G$1002))</f>
        <v/>
      </c>
      <c r="N784">
        <f>IF($K784="","",COUNTIF($C$3:$C$1002,$K784))</f>
        <v/>
      </c>
      <c r="P784">
        <f>IF($A784="","",$A784*100000+ROW())</f>
        <v/>
      </c>
    </row>
    <row r="785" ht="18" customHeight="1">
      <c r="A785" s="60" t="n"/>
      <c r="B785" s="61">
        <f>IF(A785="","",TEXT(A785,"mmm yyyy"))</f>
        <v/>
      </c>
      <c r="C785" s="62" t="n"/>
      <c r="D785" s="62" t="n"/>
      <c r="E785" s="62" t="n"/>
      <c r="F785" s="62" t="n"/>
      <c r="G785" s="63" t="n"/>
      <c r="H785" s="62" t="n"/>
      <c r="K785">
        <f>IF($C785="","",IF(COUNTIF($C$3:$C785,$C785)=1,$C785,""))</f>
        <v/>
      </c>
      <c r="L785">
        <f>IF($K785="","",$M785+ROW()/10000000)</f>
        <v/>
      </c>
      <c r="M785">
        <f>IF($K785="","",SUMIF($C$3:$C$1002,$K785,$G$3:$G$1002))</f>
        <v/>
      </c>
      <c r="N785">
        <f>IF($K785="","",COUNTIF($C$3:$C$1002,$K785))</f>
        <v/>
      </c>
      <c r="P785">
        <f>IF($A785="","",$A785*100000+ROW())</f>
        <v/>
      </c>
    </row>
    <row r="786" ht="18" customHeight="1">
      <c r="A786" s="60" t="n"/>
      <c r="B786" s="61">
        <f>IF(A786="","",TEXT(A786,"mmm yyyy"))</f>
        <v/>
      </c>
      <c r="C786" s="62" t="n"/>
      <c r="D786" s="62" t="n"/>
      <c r="E786" s="62" t="n"/>
      <c r="F786" s="62" t="n"/>
      <c r="G786" s="63" t="n"/>
      <c r="H786" s="62" t="n"/>
      <c r="K786">
        <f>IF($C786="","",IF(COUNTIF($C$3:$C786,$C786)=1,$C786,""))</f>
        <v/>
      </c>
      <c r="L786">
        <f>IF($K786="","",$M786+ROW()/10000000)</f>
        <v/>
      </c>
      <c r="M786">
        <f>IF($K786="","",SUMIF($C$3:$C$1002,$K786,$G$3:$G$1002))</f>
        <v/>
      </c>
      <c r="N786">
        <f>IF($K786="","",COUNTIF($C$3:$C$1002,$K786))</f>
        <v/>
      </c>
      <c r="P786">
        <f>IF($A786="","",$A786*100000+ROW())</f>
        <v/>
      </c>
    </row>
    <row r="787" ht="18" customHeight="1">
      <c r="A787" s="60" t="n"/>
      <c r="B787" s="61">
        <f>IF(A787="","",TEXT(A787,"mmm yyyy"))</f>
        <v/>
      </c>
      <c r="C787" s="62" t="n"/>
      <c r="D787" s="62" t="n"/>
      <c r="E787" s="62" t="n"/>
      <c r="F787" s="62" t="n"/>
      <c r="G787" s="63" t="n"/>
      <c r="H787" s="62" t="n"/>
      <c r="K787">
        <f>IF($C787="","",IF(COUNTIF($C$3:$C787,$C787)=1,$C787,""))</f>
        <v/>
      </c>
      <c r="L787">
        <f>IF($K787="","",$M787+ROW()/10000000)</f>
        <v/>
      </c>
      <c r="M787">
        <f>IF($K787="","",SUMIF($C$3:$C$1002,$K787,$G$3:$G$1002))</f>
        <v/>
      </c>
      <c r="N787">
        <f>IF($K787="","",COUNTIF($C$3:$C$1002,$K787))</f>
        <v/>
      </c>
      <c r="P787">
        <f>IF($A787="","",$A787*100000+ROW())</f>
        <v/>
      </c>
    </row>
    <row r="788" ht="18" customHeight="1">
      <c r="A788" s="60" t="n"/>
      <c r="B788" s="61">
        <f>IF(A788="","",TEXT(A788,"mmm yyyy"))</f>
        <v/>
      </c>
      <c r="C788" s="62" t="n"/>
      <c r="D788" s="62" t="n"/>
      <c r="E788" s="62" t="n"/>
      <c r="F788" s="62" t="n"/>
      <c r="G788" s="63" t="n"/>
      <c r="H788" s="62" t="n"/>
      <c r="K788">
        <f>IF($C788="","",IF(COUNTIF($C$3:$C788,$C788)=1,$C788,""))</f>
        <v/>
      </c>
      <c r="L788">
        <f>IF($K788="","",$M788+ROW()/10000000)</f>
        <v/>
      </c>
      <c r="M788">
        <f>IF($K788="","",SUMIF($C$3:$C$1002,$K788,$G$3:$G$1002))</f>
        <v/>
      </c>
      <c r="N788">
        <f>IF($K788="","",COUNTIF($C$3:$C$1002,$K788))</f>
        <v/>
      </c>
      <c r="P788">
        <f>IF($A788="","",$A788*100000+ROW())</f>
        <v/>
      </c>
    </row>
    <row r="789" ht="18" customHeight="1">
      <c r="A789" s="60" t="n"/>
      <c r="B789" s="61">
        <f>IF(A789="","",TEXT(A789,"mmm yyyy"))</f>
        <v/>
      </c>
      <c r="C789" s="62" t="n"/>
      <c r="D789" s="62" t="n"/>
      <c r="E789" s="62" t="n"/>
      <c r="F789" s="62" t="n"/>
      <c r="G789" s="63" t="n"/>
      <c r="H789" s="62" t="n"/>
      <c r="K789">
        <f>IF($C789="","",IF(COUNTIF($C$3:$C789,$C789)=1,$C789,""))</f>
        <v/>
      </c>
      <c r="L789">
        <f>IF($K789="","",$M789+ROW()/10000000)</f>
        <v/>
      </c>
      <c r="M789">
        <f>IF($K789="","",SUMIF($C$3:$C$1002,$K789,$G$3:$G$1002))</f>
        <v/>
      </c>
      <c r="N789">
        <f>IF($K789="","",COUNTIF($C$3:$C$1002,$K789))</f>
        <v/>
      </c>
      <c r="P789">
        <f>IF($A789="","",$A789*100000+ROW())</f>
        <v/>
      </c>
    </row>
    <row r="790" ht="18" customHeight="1">
      <c r="A790" s="60" t="n"/>
      <c r="B790" s="61">
        <f>IF(A790="","",TEXT(A790,"mmm yyyy"))</f>
        <v/>
      </c>
      <c r="C790" s="62" t="n"/>
      <c r="D790" s="62" t="n"/>
      <c r="E790" s="62" t="n"/>
      <c r="F790" s="62" t="n"/>
      <c r="G790" s="63" t="n"/>
      <c r="H790" s="62" t="n"/>
      <c r="K790">
        <f>IF($C790="","",IF(COUNTIF($C$3:$C790,$C790)=1,$C790,""))</f>
        <v/>
      </c>
      <c r="L790">
        <f>IF($K790="","",$M790+ROW()/10000000)</f>
        <v/>
      </c>
      <c r="M790">
        <f>IF($K790="","",SUMIF($C$3:$C$1002,$K790,$G$3:$G$1002))</f>
        <v/>
      </c>
      <c r="N790">
        <f>IF($K790="","",COUNTIF($C$3:$C$1002,$K790))</f>
        <v/>
      </c>
      <c r="P790">
        <f>IF($A790="","",$A790*100000+ROW())</f>
        <v/>
      </c>
    </row>
    <row r="791" ht="18" customHeight="1">
      <c r="A791" s="60" t="n"/>
      <c r="B791" s="61">
        <f>IF(A791="","",TEXT(A791,"mmm yyyy"))</f>
        <v/>
      </c>
      <c r="C791" s="62" t="n"/>
      <c r="D791" s="62" t="n"/>
      <c r="E791" s="62" t="n"/>
      <c r="F791" s="62" t="n"/>
      <c r="G791" s="63" t="n"/>
      <c r="H791" s="62" t="n"/>
      <c r="K791">
        <f>IF($C791="","",IF(COUNTIF($C$3:$C791,$C791)=1,$C791,""))</f>
        <v/>
      </c>
      <c r="L791">
        <f>IF($K791="","",$M791+ROW()/10000000)</f>
        <v/>
      </c>
      <c r="M791">
        <f>IF($K791="","",SUMIF($C$3:$C$1002,$K791,$G$3:$G$1002))</f>
        <v/>
      </c>
      <c r="N791">
        <f>IF($K791="","",COUNTIF($C$3:$C$1002,$K791))</f>
        <v/>
      </c>
      <c r="P791">
        <f>IF($A791="","",$A791*100000+ROW())</f>
        <v/>
      </c>
    </row>
    <row r="792" ht="18" customHeight="1">
      <c r="A792" s="60" t="n"/>
      <c r="B792" s="61">
        <f>IF(A792="","",TEXT(A792,"mmm yyyy"))</f>
        <v/>
      </c>
      <c r="C792" s="62" t="n"/>
      <c r="D792" s="62" t="n"/>
      <c r="E792" s="62" t="n"/>
      <c r="F792" s="62" t="n"/>
      <c r="G792" s="63" t="n"/>
      <c r="H792" s="62" t="n"/>
      <c r="K792">
        <f>IF($C792="","",IF(COUNTIF($C$3:$C792,$C792)=1,$C792,""))</f>
        <v/>
      </c>
      <c r="L792">
        <f>IF($K792="","",$M792+ROW()/10000000)</f>
        <v/>
      </c>
      <c r="M792">
        <f>IF($K792="","",SUMIF($C$3:$C$1002,$K792,$G$3:$G$1002))</f>
        <v/>
      </c>
      <c r="N792">
        <f>IF($K792="","",COUNTIF($C$3:$C$1002,$K792))</f>
        <v/>
      </c>
      <c r="P792">
        <f>IF($A792="","",$A792*100000+ROW())</f>
        <v/>
      </c>
    </row>
    <row r="793" ht="18" customHeight="1">
      <c r="A793" s="60" t="n"/>
      <c r="B793" s="61">
        <f>IF(A793="","",TEXT(A793,"mmm yyyy"))</f>
        <v/>
      </c>
      <c r="C793" s="62" t="n"/>
      <c r="D793" s="62" t="n"/>
      <c r="E793" s="62" t="n"/>
      <c r="F793" s="62" t="n"/>
      <c r="G793" s="63" t="n"/>
      <c r="H793" s="62" t="n"/>
      <c r="K793">
        <f>IF($C793="","",IF(COUNTIF($C$3:$C793,$C793)=1,$C793,""))</f>
        <v/>
      </c>
      <c r="L793">
        <f>IF($K793="","",$M793+ROW()/10000000)</f>
        <v/>
      </c>
      <c r="M793">
        <f>IF($K793="","",SUMIF($C$3:$C$1002,$K793,$G$3:$G$1002))</f>
        <v/>
      </c>
      <c r="N793">
        <f>IF($K793="","",COUNTIF($C$3:$C$1002,$K793))</f>
        <v/>
      </c>
      <c r="P793">
        <f>IF($A793="","",$A793*100000+ROW())</f>
        <v/>
      </c>
    </row>
    <row r="794" ht="18" customHeight="1">
      <c r="A794" s="60" t="n"/>
      <c r="B794" s="61">
        <f>IF(A794="","",TEXT(A794,"mmm yyyy"))</f>
        <v/>
      </c>
      <c r="C794" s="62" t="n"/>
      <c r="D794" s="62" t="n"/>
      <c r="E794" s="62" t="n"/>
      <c r="F794" s="62" t="n"/>
      <c r="G794" s="63" t="n"/>
      <c r="H794" s="62" t="n"/>
      <c r="K794">
        <f>IF($C794="","",IF(COUNTIF($C$3:$C794,$C794)=1,$C794,""))</f>
        <v/>
      </c>
      <c r="L794">
        <f>IF($K794="","",$M794+ROW()/10000000)</f>
        <v/>
      </c>
      <c r="M794">
        <f>IF($K794="","",SUMIF($C$3:$C$1002,$K794,$G$3:$G$1002))</f>
        <v/>
      </c>
      <c r="N794">
        <f>IF($K794="","",COUNTIF($C$3:$C$1002,$K794))</f>
        <v/>
      </c>
      <c r="P794">
        <f>IF($A794="","",$A794*100000+ROW())</f>
        <v/>
      </c>
    </row>
    <row r="795" ht="18" customHeight="1">
      <c r="A795" s="60" t="n"/>
      <c r="B795" s="61">
        <f>IF(A795="","",TEXT(A795,"mmm yyyy"))</f>
        <v/>
      </c>
      <c r="C795" s="62" t="n"/>
      <c r="D795" s="62" t="n"/>
      <c r="E795" s="62" t="n"/>
      <c r="F795" s="62" t="n"/>
      <c r="G795" s="63" t="n"/>
      <c r="H795" s="62" t="n"/>
      <c r="K795">
        <f>IF($C795="","",IF(COUNTIF($C$3:$C795,$C795)=1,$C795,""))</f>
        <v/>
      </c>
      <c r="L795">
        <f>IF($K795="","",$M795+ROW()/10000000)</f>
        <v/>
      </c>
      <c r="M795">
        <f>IF($K795="","",SUMIF($C$3:$C$1002,$K795,$G$3:$G$1002))</f>
        <v/>
      </c>
      <c r="N795">
        <f>IF($K795="","",COUNTIF($C$3:$C$1002,$K795))</f>
        <v/>
      </c>
      <c r="P795">
        <f>IF($A795="","",$A795*100000+ROW())</f>
        <v/>
      </c>
    </row>
    <row r="796" ht="18" customHeight="1">
      <c r="A796" s="60" t="n"/>
      <c r="B796" s="61">
        <f>IF(A796="","",TEXT(A796,"mmm yyyy"))</f>
        <v/>
      </c>
      <c r="C796" s="62" t="n"/>
      <c r="D796" s="62" t="n"/>
      <c r="E796" s="62" t="n"/>
      <c r="F796" s="62" t="n"/>
      <c r="G796" s="63" t="n"/>
      <c r="H796" s="62" t="n"/>
      <c r="K796">
        <f>IF($C796="","",IF(COUNTIF($C$3:$C796,$C796)=1,$C796,""))</f>
        <v/>
      </c>
      <c r="L796">
        <f>IF($K796="","",$M796+ROW()/10000000)</f>
        <v/>
      </c>
      <c r="M796">
        <f>IF($K796="","",SUMIF($C$3:$C$1002,$K796,$G$3:$G$1002))</f>
        <v/>
      </c>
      <c r="N796">
        <f>IF($K796="","",COUNTIF($C$3:$C$1002,$K796))</f>
        <v/>
      </c>
      <c r="P796">
        <f>IF($A796="","",$A796*100000+ROW())</f>
        <v/>
      </c>
    </row>
    <row r="797" ht="18" customHeight="1">
      <c r="A797" s="60" t="n"/>
      <c r="B797" s="61">
        <f>IF(A797="","",TEXT(A797,"mmm yyyy"))</f>
        <v/>
      </c>
      <c r="C797" s="62" t="n"/>
      <c r="D797" s="62" t="n"/>
      <c r="E797" s="62" t="n"/>
      <c r="F797" s="62" t="n"/>
      <c r="G797" s="63" t="n"/>
      <c r="H797" s="62" t="n"/>
      <c r="K797">
        <f>IF($C797="","",IF(COUNTIF($C$3:$C797,$C797)=1,$C797,""))</f>
        <v/>
      </c>
      <c r="L797">
        <f>IF($K797="","",$M797+ROW()/10000000)</f>
        <v/>
      </c>
      <c r="M797">
        <f>IF($K797="","",SUMIF($C$3:$C$1002,$K797,$G$3:$G$1002))</f>
        <v/>
      </c>
      <c r="N797">
        <f>IF($K797="","",COUNTIF($C$3:$C$1002,$K797))</f>
        <v/>
      </c>
      <c r="P797">
        <f>IF($A797="","",$A797*100000+ROW())</f>
        <v/>
      </c>
    </row>
    <row r="798" ht="18" customHeight="1">
      <c r="A798" s="60" t="n"/>
      <c r="B798" s="61">
        <f>IF(A798="","",TEXT(A798,"mmm yyyy"))</f>
        <v/>
      </c>
      <c r="C798" s="62" t="n"/>
      <c r="D798" s="62" t="n"/>
      <c r="E798" s="62" t="n"/>
      <c r="F798" s="62" t="n"/>
      <c r="G798" s="63" t="n"/>
      <c r="H798" s="62" t="n"/>
      <c r="K798">
        <f>IF($C798="","",IF(COUNTIF($C$3:$C798,$C798)=1,$C798,""))</f>
        <v/>
      </c>
      <c r="L798">
        <f>IF($K798="","",$M798+ROW()/10000000)</f>
        <v/>
      </c>
      <c r="M798">
        <f>IF($K798="","",SUMIF($C$3:$C$1002,$K798,$G$3:$G$1002))</f>
        <v/>
      </c>
      <c r="N798">
        <f>IF($K798="","",COUNTIF($C$3:$C$1002,$K798))</f>
        <v/>
      </c>
      <c r="P798">
        <f>IF($A798="","",$A798*100000+ROW())</f>
        <v/>
      </c>
    </row>
    <row r="799" ht="18" customHeight="1">
      <c r="A799" s="60" t="n"/>
      <c r="B799" s="61">
        <f>IF(A799="","",TEXT(A799,"mmm yyyy"))</f>
        <v/>
      </c>
      <c r="C799" s="62" t="n"/>
      <c r="D799" s="62" t="n"/>
      <c r="E799" s="62" t="n"/>
      <c r="F799" s="62" t="n"/>
      <c r="G799" s="63" t="n"/>
      <c r="H799" s="62" t="n"/>
      <c r="K799">
        <f>IF($C799="","",IF(COUNTIF($C$3:$C799,$C799)=1,$C799,""))</f>
        <v/>
      </c>
      <c r="L799">
        <f>IF($K799="","",$M799+ROW()/10000000)</f>
        <v/>
      </c>
      <c r="M799">
        <f>IF($K799="","",SUMIF($C$3:$C$1002,$K799,$G$3:$G$1002))</f>
        <v/>
      </c>
      <c r="N799">
        <f>IF($K799="","",COUNTIF($C$3:$C$1002,$K799))</f>
        <v/>
      </c>
      <c r="P799">
        <f>IF($A799="","",$A799*100000+ROW())</f>
        <v/>
      </c>
    </row>
    <row r="800" ht="18" customHeight="1">
      <c r="A800" s="60" t="n"/>
      <c r="B800" s="61">
        <f>IF(A800="","",TEXT(A800,"mmm yyyy"))</f>
        <v/>
      </c>
      <c r="C800" s="62" t="n"/>
      <c r="D800" s="62" t="n"/>
      <c r="E800" s="62" t="n"/>
      <c r="F800" s="62" t="n"/>
      <c r="G800" s="63" t="n"/>
      <c r="H800" s="62" t="n"/>
      <c r="K800">
        <f>IF($C800="","",IF(COUNTIF($C$3:$C800,$C800)=1,$C800,""))</f>
        <v/>
      </c>
      <c r="L800">
        <f>IF($K800="","",$M800+ROW()/10000000)</f>
        <v/>
      </c>
      <c r="M800">
        <f>IF($K800="","",SUMIF($C$3:$C$1002,$K800,$G$3:$G$1002))</f>
        <v/>
      </c>
      <c r="N800">
        <f>IF($K800="","",COUNTIF($C$3:$C$1002,$K800))</f>
        <v/>
      </c>
      <c r="P800">
        <f>IF($A800="","",$A800*100000+ROW())</f>
        <v/>
      </c>
    </row>
    <row r="801" ht="18" customHeight="1">
      <c r="A801" s="60" t="n"/>
      <c r="B801" s="61">
        <f>IF(A801="","",TEXT(A801,"mmm yyyy"))</f>
        <v/>
      </c>
      <c r="C801" s="62" t="n"/>
      <c r="D801" s="62" t="n"/>
      <c r="E801" s="62" t="n"/>
      <c r="F801" s="62" t="n"/>
      <c r="G801" s="63" t="n"/>
      <c r="H801" s="62" t="n"/>
      <c r="K801">
        <f>IF($C801="","",IF(COUNTIF($C$3:$C801,$C801)=1,$C801,""))</f>
        <v/>
      </c>
      <c r="L801">
        <f>IF($K801="","",$M801+ROW()/10000000)</f>
        <v/>
      </c>
      <c r="M801">
        <f>IF($K801="","",SUMIF($C$3:$C$1002,$K801,$G$3:$G$1002))</f>
        <v/>
      </c>
      <c r="N801">
        <f>IF($K801="","",COUNTIF($C$3:$C$1002,$K801))</f>
        <v/>
      </c>
      <c r="P801">
        <f>IF($A801="","",$A801*100000+ROW())</f>
        <v/>
      </c>
    </row>
    <row r="802" ht="18" customHeight="1">
      <c r="A802" s="60" t="n"/>
      <c r="B802" s="61">
        <f>IF(A802="","",TEXT(A802,"mmm yyyy"))</f>
        <v/>
      </c>
      <c r="C802" s="62" t="n"/>
      <c r="D802" s="62" t="n"/>
      <c r="E802" s="62" t="n"/>
      <c r="F802" s="62" t="n"/>
      <c r="G802" s="63" t="n"/>
      <c r="H802" s="62" t="n"/>
      <c r="K802">
        <f>IF($C802="","",IF(COUNTIF($C$3:$C802,$C802)=1,$C802,""))</f>
        <v/>
      </c>
      <c r="L802">
        <f>IF($K802="","",$M802+ROW()/10000000)</f>
        <v/>
      </c>
      <c r="M802">
        <f>IF($K802="","",SUMIF($C$3:$C$1002,$K802,$G$3:$G$1002))</f>
        <v/>
      </c>
      <c r="N802">
        <f>IF($K802="","",COUNTIF($C$3:$C$1002,$K802))</f>
        <v/>
      </c>
      <c r="P802">
        <f>IF($A802="","",$A802*100000+ROW())</f>
        <v/>
      </c>
    </row>
    <row r="803" ht="18" customHeight="1">
      <c r="A803" s="60" t="n"/>
      <c r="B803" s="61">
        <f>IF(A803="","",TEXT(A803,"mmm yyyy"))</f>
        <v/>
      </c>
      <c r="C803" s="62" t="n"/>
      <c r="D803" s="62" t="n"/>
      <c r="E803" s="62" t="n"/>
      <c r="F803" s="62" t="n"/>
      <c r="G803" s="63" t="n"/>
      <c r="H803" s="62" t="n"/>
      <c r="K803">
        <f>IF($C803="","",IF(COUNTIF($C$3:$C803,$C803)=1,$C803,""))</f>
        <v/>
      </c>
      <c r="L803">
        <f>IF($K803="","",$M803+ROW()/10000000)</f>
        <v/>
      </c>
      <c r="M803">
        <f>IF($K803="","",SUMIF($C$3:$C$1002,$K803,$G$3:$G$1002))</f>
        <v/>
      </c>
      <c r="N803">
        <f>IF($K803="","",COUNTIF($C$3:$C$1002,$K803))</f>
        <v/>
      </c>
      <c r="P803">
        <f>IF($A803="","",$A803*100000+ROW())</f>
        <v/>
      </c>
    </row>
    <row r="804" ht="18" customHeight="1">
      <c r="A804" s="60" t="n"/>
      <c r="B804" s="61">
        <f>IF(A804="","",TEXT(A804,"mmm yyyy"))</f>
        <v/>
      </c>
      <c r="C804" s="62" t="n"/>
      <c r="D804" s="62" t="n"/>
      <c r="E804" s="62" t="n"/>
      <c r="F804" s="62" t="n"/>
      <c r="G804" s="63" t="n"/>
      <c r="H804" s="62" t="n"/>
      <c r="K804">
        <f>IF($C804="","",IF(COUNTIF($C$3:$C804,$C804)=1,$C804,""))</f>
        <v/>
      </c>
      <c r="L804">
        <f>IF($K804="","",$M804+ROW()/10000000)</f>
        <v/>
      </c>
      <c r="M804">
        <f>IF($K804="","",SUMIF($C$3:$C$1002,$K804,$G$3:$G$1002))</f>
        <v/>
      </c>
      <c r="N804">
        <f>IF($K804="","",COUNTIF($C$3:$C$1002,$K804))</f>
        <v/>
      </c>
      <c r="P804">
        <f>IF($A804="","",$A804*100000+ROW())</f>
        <v/>
      </c>
    </row>
    <row r="805" ht="18" customHeight="1">
      <c r="A805" s="60" t="n"/>
      <c r="B805" s="61">
        <f>IF(A805="","",TEXT(A805,"mmm yyyy"))</f>
        <v/>
      </c>
      <c r="C805" s="62" t="n"/>
      <c r="D805" s="62" t="n"/>
      <c r="E805" s="62" t="n"/>
      <c r="F805" s="62" t="n"/>
      <c r="G805" s="63" t="n"/>
      <c r="H805" s="62" t="n"/>
      <c r="K805">
        <f>IF($C805="","",IF(COUNTIF($C$3:$C805,$C805)=1,$C805,""))</f>
        <v/>
      </c>
      <c r="L805">
        <f>IF($K805="","",$M805+ROW()/10000000)</f>
        <v/>
      </c>
      <c r="M805">
        <f>IF($K805="","",SUMIF($C$3:$C$1002,$K805,$G$3:$G$1002))</f>
        <v/>
      </c>
      <c r="N805">
        <f>IF($K805="","",COUNTIF($C$3:$C$1002,$K805))</f>
        <v/>
      </c>
      <c r="P805">
        <f>IF($A805="","",$A805*100000+ROW())</f>
        <v/>
      </c>
    </row>
    <row r="806" ht="18" customHeight="1">
      <c r="A806" s="60" t="n"/>
      <c r="B806" s="61">
        <f>IF(A806="","",TEXT(A806,"mmm yyyy"))</f>
        <v/>
      </c>
      <c r="C806" s="62" t="n"/>
      <c r="D806" s="62" t="n"/>
      <c r="E806" s="62" t="n"/>
      <c r="F806" s="62" t="n"/>
      <c r="G806" s="63" t="n"/>
      <c r="H806" s="62" t="n"/>
      <c r="K806">
        <f>IF($C806="","",IF(COUNTIF($C$3:$C806,$C806)=1,$C806,""))</f>
        <v/>
      </c>
      <c r="L806">
        <f>IF($K806="","",$M806+ROW()/10000000)</f>
        <v/>
      </c>
      <c r="M806">
        <f>IF($K806="","",SUMIF($C$3:$C$1002,$K806,$G$3:$G$1002))</f>
        <v/>
      </c>
      <c r="N806">
        <f>IF($K806="","",COUNTIF($C$3:$C$1002,$K806))</f>
        <v/>
      </c>
      <c r="P806">
        <f>IF($A806="","",$A806*100000+ROW())</f>
        <v/>
      </c>
    </row>
    <row r="807" ht="18" customHeight="1">
      <c r="A807" s="60" t="n"/>
      <c r="B807" s="61">
        <f>IF(A807="","",TEXT(A807,"mmm yyyy"))</f>
        <v/>
      </c>
      <c r="C807" s="62" t="n"/>
      <c r="D807" s="62" t="n"/>
      <c r="E807" s="62" t="n"/>
      <c r="F807" s="62" t="n"/>
      <c r="G807" s="63" t="n"/>
      <c r="H807" s="62" t="n"/>
      <c r="K807">
        <f>IF($C807="","",IF(COUNTIF($C$3:$C807,$C807)=1,$C807,""))</f>
        <v/>
      </c>
      <c r="L807">
        <f>IF($K807="","",$M807+ROW()/10000000)</f>
        <v/>
      </c>
      <c r="M807">
        <f>IF($K807="","",SUMIF($C$3:$C$1002,$K807,$G$3:$G$1002))</f>
        <v/>
      </c>
      <c r="N807">
        <f>IF($K807="","",COUNTIF($C$3:$C$1002,$K807))</f>
        <v/>
      </c>
      <c r="P807">
        <f>IF($A807="","",$A807*100000+ROW())</f>
        <v/>
      </c>
    </row>
    <row r="808" ht="18" customHeight="1">
      <c r="A808" s="60" t="n"/>
      <c r="B808" s="61">
        <f>IF(A808="","",TEXT(A808,"mmm yyyy"))</f>
        <v/>
      </c>
      <c r="C808" s="62" t="n"/>
      <c r="D808" s="62" t="n"/>
      <c r="E808" s="62" t="n"/>
      <c r="F808" s="62" t="n"/>
      <c r="G808" s="63" t="n"/>
      <c r="H808" s="62" t="n"/>
      <c r="K808">
        <f>IF($C808="","",IF(COUNTIF($C$3:$C808,$C808)=1,$C808,""))</f>
        <v/>
      </c>
      <c r="L808">
        <f>IF($K808="","",$M808+ROW()/10000000)</f>
        <v/>
      </c>
      <c r="M808">
        <f>IF($K808="","",SUMIF($C$3:$C$1002,$K808,$G$3:$G$1002))</f>
        <v/>
      </c>
      <c r="N808">
        <f>IF($K808="","",COUNTIF($C$3:$C$1002,$K808))</f>
        <v/>
      </c>
      <c r="P808">
        <f>IF($A808="","",$A808*100000+ROW())</f>
        <v/>
      </c>
    </row>
    <row r="809" ht="18" customHeight="1">
      <c r="A809" s="60" t="n"/>
      <c r="B809" s="61">
        <f>IF(A809="","",TEXT(A809,"mmm yyyy"))</f>
        <v/>
      </c>
      <c r="C809" s="62" t="n"/>
      <c r="D809" s="62" t="n"/>
      <c r="E809" s="62" t="n"/>
      <c r="F809" s="62" t="n"/>
      <c r="G809" s="63" t="n"/>
      <c r="H809" s="62" t="n"/>
      <c r="K809">
        <f>IF($C809="","",IF(COUNTIF($C$3:$C809,$C809)=1,$C809,""))</f>
        <v/>
      </c>
      <c r="L809">
        <f>IF($K809="","",$M809+ROW()/10000000)</f>
        <v/>
      </c>
      <c r="M809">
        <f>IF($K809="","",SUMIF($C$3:$C$1002,$K809,$G$3:$G$1002))</f>
        <v/>
      </c>
      <c r="N809">
        <f>IF($K809="","",COUNTIF($C$3:$C$1002,$K809))</f>
        <v/>
      </c>
      <c r="P809">
        <f>IF($A809="","",$A809*100000+ROW())</f>
        <v/>
      </c>
    </row>
    <row r="810" ht="18" customHeight="1">
      <c r="A810" s="60" t="n"/>
      <c r="B810" s="61">
        <f>IF(A810="","",TEXT(A810,"mmm yyyy"))</f>
        <v/>
      </c>
      <c r="C810" s="62" t="n"/>
      <c r="D810" s="62" t="n"/>
      <c r="E810" s="62" t="n"/>
      <c r="F810" s="62" t="n"/>
      <c r="G810" s="63" t="n"/>
      <c r="H810" s="62" t="n"/>
      <c r="K810">
        <f>IF($C810="","",IF(COUNTIF($C$3:$C810,$C810)=1,$C810,""))</f>
        <v/>
      </c>
      <c r="L810">
        <f>IF($K810="","",$M810+ROW()/10000000)</f>
        <v/>
      </c>
      <c r="M810">
        <f>IF($K810="","",SUMIF($C$3:$C$1002,$K810,$G$3:$G$1002))</f>
        <v/>
      </c>
      <c r="N810">
        <f>IF($K810="","",COUNTIF($C$3:$C$1002,$K810))</f>
        <v/>
      </c>
      <c r="P810">
        <f>IF($A810="","",$A810*100000+ROW())</f>
        <v/>
      </c>
    </row>
    <row r="811" ht="18" customHeight="1">
      <c r="A811" s="60" t="n"/>
      <c r="B811" s="61">
        <f>IF(A811="","",TEXT(A811,"mmm yyyy"))</f>
        <v/>
      </c>
      <c r="C811" s="62" t="n"/>
      <c r="D811" s="62" t="n"/>
      <c r="E811" s="62" t="n"/>
      <c r="F811" s="62" t="n"/>
      <c r="G811" s="63" t="n"/>
      <c r="H811" s="62" t="n"/>
      <c r="K811">
        <f>IF($C811="","",IF(COUNTIF($C$3:$C811,$C811)=1,$C811,""))</f>
        <v/>
      </c>
      <c r="L811">
        <f>IF($K811="","",$M811+ROW()/10000000)</f>
        <v/>
      </c>
      <c r="M811">
        <f>IF($K811="","",SUMIF($C$3:$C$1002,$K811,$G$3:$G$1002))</f>
        <v/>
      </c>
      <c r="N811">
        <f>IF($K811="","",COUNTIF($C$3:$C$1002,$K811))</f>
        <v/>
      </c>
      <c r="P811">
        <f>IF($A811="","",$A811*100000+ROW())</f>
        <v/>
      </c>
    </row>
    <row r="812" ht="18" customHeight="1">
      <c r="A812" s="60" t="n"/>
      <c r="B812" s="61">
        <f>IF(A812="","",TEXT(A812,"mmm yyyy"))</f>
        <v/>
      </c>
      <c r="C812" s="62" t="n"/>
      <c r="D812" s="62" t="n"/>
      <c r="E812" s="62" t="n"/>
      <c r="F812" s="62" t="n"/>
      <c r="G812" s="63" t="n"/>
      <c r="H812" s="62" t="n"/>
      <c r="K812">
        <f>IF($C812="","",IF(COUNTIF($C$3:$C812,$C812)=1,$C812,""))</f>
        <v/>
      </c>
      <c r="L812">
        <f>IF($K812="","",$M812+ROW()/10000000)</f>
        <v/>
      </c>
      <c r="M812">
        <f>IF($K812="","",SUMIF($C$3:$C$1002,$K812,$G$3:$G$1002))</f>
        <v/>
      </c>
      <c r="N812">
        <f>IF($K812="","",COUNTIF($C$3:$C$1002,$K812))</f>
        <v/>
      </c>
      <c r="P812">
        <f>IF($A812="","",$A812*100000+ROW())</f>
        <v/>
      </c>
    </row>
    <row r="813" ht="18" customHeight="1">
      <c r="A813" s="60" t="n"/>
      <c r="B813" s="61">
        <f>IF(A813="","",TEXT(A813,"mmm yyyy"))</f>
        <v/>
      </c>
      <c r="C813" s="62" t="n"/>
      <c r="D813" s="62" t="n"/>
      <c r="E813" s="62" t="n"/>
      <c r="F813" s="62" t="n"/>
      <c r="G813" s="63" t="n"/>
      <c r="H813" s="62" t="n"/>
      <c r="K813">
        <f>IF($C813="","",IF(COUNTIF($C$3:$C813,$C813)=1,$C813,""))</f>
        <v/>
      </c>
      <c r="L813">
        <f>IF($K813="","",$M813+ROW()/10000000)</f>
        <v/>
      </c>
      <c r="M813">
        <f>IF($K813="","",SUMIF($C$3:$C$1002,$K813,$G$3:$G$1002))</f>
        <v/>
      </c>
      <c r="N813">
        <f>IF($K813="","",COUNTIF($C$3:$C$1002,$K813))</f>
        <v/>
      </c>
      <c r="P813">
        <f>IF($A813="","",$A813*100000+ROW())</f>
        <v/>
      </c>
    </row>
    <row r="814" ht="18" customHeight="1">
      <c r="A814" s="60" t="n"/>
      <c r="B814" s="61">
        <f>IF(A814="","",TEXT(A814,"mmm yyyy"))</f>
        <v/>
      </c>
      <c r="C814" s="62" t="n"/>
      <c r="D814" s="62" t="n"/>
      <c r="E814" s="62" t="n"/>
      <c r="F814" s="62" t="n"/>
      <c r="G814" s="63" t="n"/>
      <c r="H814" s="62" t="n"/>
      <c r="K814">
        <f>IF($C814="","",IF(COUNTIF($C$3:$C814,$C814)=1,$C814,""))</f>
        <v/>
      </c>
      <c r="L814">
        <f>IF($K814="","",$M814+ROW()/10000000)</f>
        <v/>
      </c>
      <c r="M814">
        <f>IF($K814="","",SUMIF($C$3:$C$1002,$K814,$G$3:$G$1002))</f>
        <v/>
      </c>
      <c r="N814">
        <f>IF($K814="","",COUNTIF($C$3:$C$1002,$K814))</f>
        <v/>
      </c>
      <c r="P814">
        <f>IF($A814="","",$A814*100000+ROW())</f>
        <v/>
      </c>
    </row>
    <row r="815" ht="18" customHeight="1">
      <c r="A815" s="60" t="n"/>
      <c r="B815" s="61">
        <f>IF(A815="","",TEXT(A815,"mmm yyyy"))</f>
        <v/>
      </c>
      <c r="C815" s="62" t="n"/>
      <c r="D815" s="62" t="n"/>
      <c r="E815" s="62" t="n"/>
      <c r="F815" s="62" t="n"/>
      <c r="G815" s="63" t="n"/>
      <c r="H815" s="62" t="n"/>
      <c r="K815">
        <f>IF($C815="","",IF(COUNTIF($C$3:$C815,$C815)=1,$C815,""))</f>
        <v/>
      </c>
      <c r="L815">
        <f>IF($K815="","",$M815+ROW()/10000000)</f>
        <v/>
      </c>
      <c r="M815">
        <f>IF($K815="","",SUMIF($C$3:$C$1002,$K815,$G$3:$G$1002))</f>
        <v/>
      </c>
      <c r="N815">
        <f>IF($K815="","",COUNTIF($C$3:$C$1002,$K815))</f>
        <v/>
      </c>
      <c r="P815">
        <f>IF($A815="","",$A815*100000+ROW())</f>
        <v/>
      </c>
    </row>
    <row r="816" ht="18" customHeight="1">
      <c r="A816" s="60" t="n"/>
      <c r="B816" s="61">
        <f>IF(A816="","",TEXT(A816,"mmm yyyy"))</f>
        <v/>
      </c>
      <c r="C816" s="62" t="n"/>
      <c r="D816" s="62" t="n"/>
      <c r="E816" s="62" t="n"/>
      <c r="F816" s="62" t="n"/>
      <c r="G816" s="63" t="n"/>
      <c r="H816" s="62" t="n"/>
      <c r="K816">
        <f>IF($C816="","",IF(COUNTIF($C$3:$C816,$C816)=1,$C816,""))</f>
        <v/>
      </c>
      <c r="L816">
        <f>IF($K816="","",$M816+ROW()/10000000)</f>
        <v/>
      </c>
      <c r="M816">
        <f>IF($K816="","",SUMIF($C$3:$C$1002,$K816,$G$3:$G$1002))</f>
        <v/>
      </c>
      <c r="N816">
        <f>IF($K816="","",COUNTIF($C$3:$C$1002,$K816))</f>
        <v/>
      </c>
      <c r="P816">
        <f>IF($A816="","",$A816*100000+ROW())</f>
        <v/>
      </c>
    </row>
    <row r="817" ht="18" customHeight="1">
      <c r="A817" s="60" t="n"/>
      <c r="B817" s="61">
        <f>IF(A817="","",TEXT(A817,"mmm yyyy"))</f>
        <v/>
      </c>
      <c r="C817" s="62" t="n"/>
      <c r="D817" s="62" t="n"/>
      <c r="E817" s="62" t="n"/>
      <c r="F817" s="62" t="n"/>
      <c r="G817" s="63" t="n"/>
      <c r="H817" s="62" t="n"/>
      <c r="K817">
        <f>IF($C817="","",IF(COUNTIF($C$3:$C817,$C817)=1,$C817,""))</f>
        <v/>
      </c>
      <c r="L817">
        <f>IF($K817="","",$M817+ROW()/10000000)</f>
        <v/>
      </c>
      <c r="M817">
        <f>IF($K817="","",SUMIF($C$3:$C$1002,$K817,$G$3:$G$1002))</f>
        <v/>
      </c>
      <c r="N817">
        <f>IF($K817="","",COUNTIF($C$3:$C$1002,$K817))</f>
        <v/>
      </c>
      <c r="P817">
        <f>IF($A817="","",$A817*100000+ROW())</f>
        <v/>
      </c>
    </row>
    <row r="818" ht="18" customHeight="1">
      <c r="A818" s="60" t="n"/>
      <c r="B818" s="61">
        <f>IF(A818="","",TEXT(A818,"mmm yyyy"))</f>
        <v/>
      </c>
      <c r="C818" s="62" t="n"/>
      <c r="D818" s="62" t="n"/>
      <c r="E818" s="62" t="n"/>
      <c r="F818" s="62" t="n"/>
      <c r="G818" s="63" t="n"/>
      <c r="H818" s="62" t="n"/>
      <c r="K818">
        <f>IF($C818="","",IF(COUNTIF($C$3:$C818,$C818)=1,$C818,""))</f>
        <v/>
      </c>
      <c r="L818">
        <f>IF($K818="","",$M818+ROW()/10000000)</f>
        <v/>
      </c>
      <c r="M818">
        <f>IF($K818="","",SUMIF($C$3:$C$1002,$K818,$G$3:$G$1002))</f>
        <v/>
      </c>
      <c r="N818">
        <f>IF($K818="","",COUNTIF($C$3:$C$1002,$K818))</f>
        <v/>
      </c>
      <c r="P818">
        <f>IF($A818="","",$A818*100000+ROW())</f>
        <v/>
      </c>
    </row>
    <row r="819" ht="18" customHeight="1">
      <c r="A819" s="60" t="n"/>
      <c r="B819" s="61">
        <f>IF(A819="","",TEXT(A819,"mmm yyyy"))</f>
        <v/>
      </c>
      <c r="C819" s="62" t="n"/>
      <c r="D819" s="62" t="n"/>
      <c r="E819" s="62" t="n"/>
      <c r="F819" s="62" t="n"/>
      <c r="G819" s="63" t="n"/>
      <c r="H819" s="62" t="n"/>
      <c r="K819">
        <f>IF($C819="","",IF(COUNTIF($C$3:$C819,$C819)=1,$C819,""))</f>
        <v/>
      </c>
      <c r="L819">
        <f>IF($K819="","",$M819+ROW()/10000000)</f>
        <v/>
      </c>
      <c r="M819">
        <f>IF($K819="","",SUMIF($C$3:$C$1002,$K819,$G$3:$G$1002))</f>
        <v/>
      </c>
      <c r="N819">
        <f>IF($K819="","",COUNTIF($C$3:$C$1002,$K819))</f>
        <v/>
      </c>
      <c r="P819">
        <f>IF($A819="","",$A819*100000+ROW())</f>
        <v/>
      </c>
    </row>
    <row r="820" ht="18" customHeight="1">
      <c r="A820" s="60" t="n"/>
      <c r="B820" s="61">
        <f>IF(A820="","",TEXT(A820,"mmm yyyy"))</f>
        <v/>
      </c>
      <c r="C820" s="62" t="n"/>
      <c r="D820" s="62" t="n"/>
      <c r="E820" s="62" t="n"/>
      <c r="F820" s="62" t="n"/>
      <c r="G820" s="63" t="n"/>
      <c r="H820" s="62" t="n"/>
      <c r="K820">
        <f>IF($C820="","",IF(COUNTIF($C$3:$C820,$C820)=1,$C820,""))</f>
        <v/>
      </c>
      <c r="L820">
        <f>IF($K820="","",$M820+ROW()/10000000)</f>
        <v/>
      </c>
      <c r="M820">
        <f>IF($K820="","",SUMIF($C$3:$C$1002,$K820,$G$3:$G$1002))</f>
        <v/>
      </c>
      <c r="N820">
        <f>IF($K820="","",COUNTIF($C$3:$C$1002,$K820))</f>
        <v/>
      </c>
      <c r="P820">
        <f>IF($A820="","",$A820*100000+ROW())</f>
        <v/>
      </c>
    </row>
    <row r="821" ht="18" customHeight="1">
      <c r="A821" s="60" t="n"/>
      <c r="B821" s="61">
        <f>IF(A821="","",TEXT(A821,"mmm yyyy"))</f>
        <v/>
      </c>
      <c r="C821" s="62" t="n"/>
      <c r="D821" s="62" t="n"/>
      <c r="E821" s="62" t="n"/>
      <c r="F821" s="62" t="n"/>
      <c r="G821" s="63" t="n"/>
      <c r="H821" s="62" t="n"/>
      <c r="K821">
        <f>IF($C821="","",IF(COUNTIF($C$3:$C821,$C821)=1,$C821,""))</f>
        <v/>
      </c>
      <c r="L821">
        <f>IF($K821="","",$M821+ROW()/10000000)</f>
        <v/>
      </c>
      <c r="M821">
        <f>IF($K821="","",SUMIF($C$3:$C$1002,$K821,$G$3:$G$1002))</f>
        <v/>
      </c>
      <c r="N821">
        <f>IF($K821="","",COUNTIF($C$3:$C$1002,$K821))</f>
        <v/>
      </c>
      <c r="P821">
        <f>IF($A821="","",$A821*100000+ROW())</f>
        <v/>
      </c>
    </row>
    <row r="822" ht="18" customHeight="1">
      <c r="A822" s="60" t="n"/>
      <c r="B822" s="61">
        <f>IF(A822="","",TEXT(A822,"mmm yyyy"))</f>
        <v/>
      </c>
      <c r="C822" s="62" t="n"/>
      <c r="D822" s="62" t="n"/>
      <c r="E822" s="62" t="n"/>
      <c r="F822" s="62" t="n"/>
      <c r="G822" s="63" t="n"/>
      <c r="H822" s="62" t="n"/>
      <c r="K822">
        <f>IF($C822="","",IF(COUNTIF($C$3:$C822,$C822)=1,$C822,""))</f>
        <v/>
      </c>
      <c r="L822">
        <f>IF($K822="","",$M822+ROW()/10000000)</f>
        <v/>
      </c>
      <c r="M822">
        <f>IF($K822="","",SUMIF($C$3:$C$1002,$K822,$G$3:$G$1002))</f>
        <v/>
      </c>
      <c r="N822">
        <f>IF($K822="","",COUNTIF($C$3:$C$1002,$K822))</f>
        <v/>
      </c>
      <c r="P822">
        <f>IF($A822="","",$A822*100000+ROW())</f>
        <v/>
      </c>
    </row>
    <row r="823" ht="18" customHeight="1">
      <c r="A823" s="60" t="n"/>
      <c r="B823" s="61">
        <f>IF(A823="","",TEXT(A823,"mmm yyyy"))</f>
        <v/>
      </c>
      <c r="C823" s="62" t="n"/>
      <c r="D823" s="62" t="n"/>
      <c r="E823" s="62" t="n"/>
      <c r="F823" s="62" t="n"/>
      <c r="G823" s="63" t="n"/>
      <c r="H823" s="62" t="n"/>
      <c r="K823">
        <f>IF($C823="","",IF(COUNTIF($C$3:$C823,$C823)=1,$C823,""))</f>
        <v/>
      </c>
      <c r="L823">
        <f>IF($K823="","",$M823+ROW()/10000000)</f>
        <v/>
      </c>
      <c r="M823">
        <f>IF($K823="","",SUMIF($C$3:$C$1002,$K823,$G$3:$G$1002))</f>
        <v/>
      </c>
      <c r="N823">
        <f>IF($K823="","",COUNTIF($C$3:$C$1002,$K823))</f>
        <v/>
      </c>
      <c r="P823">
        <f>IF($A823="","",$A823*100000+ROW())</f>
        <v/>
      </c>
    </row>
    <row r="824" ht="18" customHeight="1">
      <c r="A824" s="60" t="n"/>
      <c r="B824" s="61">
        <f>IF(A824="","",TEXT(A824,"mmm yyyy"))</f>
        <v/>
      </c>
      <c r="C824" s="62" t="n"/>
      <c r="D824" s="62" t="n"/>
      <c r="E824" s="62" t="n"/>
      <c r="F824" s="62" t="n"/>
      <c r="G824" s="63" t="n"/>
      <c r="H824" s="62" t="n"/>
      <c r="K824">
        <f>IF($C824="","",IF(COUNTIF($C$3:$C824,$C824)=1,$C824,""))</f>
        <v/>
      </c>
      <c r="L824">
        <f>IF($K824="","",$M824+ROW()/10000000)</f>
        <v/>
      </c>
      <c r="M824">
        <f>IF($K824="","",SUMIF($C$3:$C$1002,$K824,$G$3:$G$1002))</f>
        <v/>
      </c>
      <c r="N824">
        <f>IF($K824="","",COUNTIF($C$3:$C$1002,$K824))</f>
        <v/>
      </c>
      <c r="P824">
        <f>IF($A824="","",$A824*100000+ROW())</f>
        <v/>
      </c>
    </row>
    <row r="825" ht="18" customHeight="1">
      <c r="A825" s="60" t="n"/>
      <c r="B825" s="61">
        <f>IF(A825="","",TEXT(A825,"mmm yyyy"))</f>
        <v/>
      </c>
      <c r="C825" s="62" t="n"/>
      <c r="D825" s="62" t="n"/>
      <c r="E825" s="62" t="n"/>
      <c r="F825" s="62" t="n"/>
      <c r="G825" s="63" t="n"/>
      <c r="H825" s="62" t="n"/>
      <c r="K825">
        <f>IF($C825="","",IF(COUNTIF($C$3:$C825,$C825)=1,$C825,""))</f>
        <v/>
      </c>
      <c r="L825">
        <f>IF($K825="","",$M825+ROW()/10000000)</f>
        <v/>
      </c>
      <c r="M825">
        <f>IF($K825="","",SUMIF($C$3:$C$1002,$K825,$G$3:$G$1002))</f>
        <v/>
      </c>
      <c r="N825">
        <f>IF($K825="","",COUNTIF($C$3:$C$1002,$K825))</f>
        <v/>
      </c>
      <c r="P825">
        <f>IF($A825="","",$A825*100000+ROW())</f>
        <v/>
      </c>
    </row>
    <row r="826" ht="18" customHeight="1">
      <c r="A826" s="60" t="n"/>
      <c r="B826" s="61">
        <f>IF(A826="","",TEXT(A826,"mmm yyyy"))</f>
        <v/>
      </c>
      <c r="C826" s="62" t="n"/>
      <c r="D826" s="62" t="n"/>
      <c r="E826" s="62" t="n"/>
      <c r="F826" s="62" t="n"/>
      <c r="G826" s="63" t="n"/>
      <c r="H826" s="62" t="n"/>
      <c r="K826">
        <f>IF($C826="","",IF(COUNTIF($C$3:$C826,$C826)=1,$C826,""))</f>
        <v/>
      </c>
      <c r="L826">
        <f>IF($K826="","",$M826+ROW()/10000000)</f>
        <v/>
      </c>
      <c r="M826">
        <f>IF($K826="","",SUMIF($C$3:$C$1002,$K826,$G$3:$G$1002))</f>
        <v/>
      </c>
      <c r="N826">
        <f>IF($K826="","",COUNTIF($C$3:$C$1002,$K826))</f>
        <v/>
      </c>
      <c r="P826">
        <f>IF($A826="","",$A826*100000+ROW())</f>
        <v/>
      </c>
    </row>
    <row r="827" ht="18" customHeight="1">
      <c r="A827" s="60" t="n"/>
      <c r="B827" s="61">
        <f>IF(A827="","",TEXT(A827,"mmm yyyy"))</f>
        <v/>
      </c>
      <c r="C827" s="62" t="n"/>
      <c r="D827" s="62" t="n"/>
      <c r="E827" s="62" t="n"/>
      <c r="F827" s="62" t="n"/>
      <c r="G827" s="63" t="n"/>
      <c r="H827" s="62" t="n"/>
      <c r="K827">
        <f>IF($C827="","",IF(COUNTIF($C$3:$C827,$C827)=1,$C827,""))</f>
        <v/>
      </c>
      <c r="L827">
        <f>IF($K827="","",$M827+ROW()/10000000)</f>
        <v/>
      </c>
      <c r="M827">
        <f>IF($K827="","",SUMIF($C$3:$C$1002,$K827,$G$3:$G$1002))</f>
        <v/>
      </c>
      <c r="N827">
        <f>IF($K827="","",COUNTIF($C$3:$C$1002,$K827))</f>
        <v/>
      </c>
      <c r="P827">
        <f>IF($A827="","",$A827*100000+ROW())</f>
        <v/>
      </c>
    </row>
    <row r="828" ht="18" customHeight="1">
      <c r="A828" s="60" t="n"/>
      <c r="B828" s="61">
        <f>IF(A828="","",TEXT(A828,"mmm yyyy"))</f>
        <v/>
      </c>
      <c r="C828" s="62" t="n"/>
      <c r="D828" s="62" t="n"/>
      <c r="E828" s="62" t="n"/>
      <c r="F828" s="62" t="n"/>
      <c r="G828" s="63" t="n"/>
      <c r="H828" s="62" t="n"/>
      <c r="K828">
        <f>IF($C828="","",IF(COUNTIF($C$3:$C828,$C828)=1,$C828,""))</f>
        <v/>
      </c>
      <c r="L828">
        <f>IF($K828="","",$M828+ROW()/10000000)</f>
        <v/>
      </c>
      <c r="M828">
        <f>IF($K828="","",SUMIF($C$3:$C$1002,$K828,$G$3:$G$1002))</f>
        <v/>
      </c>
      <c r="N828">
        <f>IF($K828="","",COUNTIF($C$3:$C$1002,$K828))</f>
        <v/>
      </c>
      <c r="P828">
        <f>IF($A828="","",$A828*100000+ROW())</f>
        <v/>
      </c>
    </row>
    <row r="829" ht="18" customHeight="1">
      <c r="A829" s="60" t="n"/>
      <c r="B829" s="61">
        <f>IF(A829="","",TEXT(A829,"mmm yyyy"))</f>
        <v/>
      </c>
      <c r="C829" s="62" t="n"/>
      <c r="D829" s="62" t="n"/>
      <c r="E829" s="62" t="n"/>
      <c r="F829" s="62" t="n"/>
      <c r="G829" s="63" t="n"/>
      <c r="H829" s="62" t="n"/>
      <c r="K829">
        <f>IF($C829="","",IF(COUNTIF($C$3:$C829,$C829)=1,$C829,""))</f>
        <v/>
      </c>
      <c r="L829">
        <f>IF($K829="","",$M829+ROW()/10000000)</f>
        <v/>
      </c>
      <c r="M829">
        <f>IF($K829="","",SUMIF($C$3:$C$1002,$K829,$G$3:$G$1002))</f>
        <v/>
      </c>
      <c r="N829">
        <f>IF($K829="","",COUNTIF($C$3:$C$1002,$K829))</f>
        <v/>
      </c>
      <c r="P829">
        <f>IF($A829="","",$A829*100000+ROW())</f>
        <v/>
      </c>
    </row>
    <row r="830" ht="18" customHeight="1">
      <c r="A830" s="60" t="n"/>
      <c r="B830" s="61">
        <f>IF(A830="","",TEXT(A830,"mmm yyyy"))</f>
        <v/>
      </c>
      <c r="C830" s="62" t="n"/>
      <c r="D830" s="62" t="n"/>
      <c r="E830" s="62" t="n"/>
      <c r="F830" s="62" t="n"/>
      <c r="G830" s="63" t="n"/>
      <c r="H830" s="62" t="n"/>
      <c r="K830">
        <f>IF($C830="","",IF(COUNTIF($C$3:$C830,$C830)=1,$C830,""))</f>
        <v/>
      </c>
      <c r="L830">
        <f>IF($K830="","",$M830+ROW()/10000000)</f>
        <v/>
      </c>
      <c r="M830">
        <f>IF($K830="","",SUMIF($C$3:$C$1002,$K830,$G$3:$G$1002))</f>
        <v/>
      </c>
      <c r="N830">
        <f>IF($K830="","",COUNTIF($C$3:$C$1002,$K830))</f>
        <v/>
      </c>
      <c r="P830">
        <f>IF($A830="","",$A830*100000+ROW())</f>
        <v/>
      </c>
    </row>
    <row r="831" ht="18" customHeight="1">
      <c r="A831" s="60" t="n"/>
      <c r="B831" s="61">
        <f>IF(A831="","",TEXT(A831,"mmm yyyy"))</f>
        <v/>
      </c>
      <c r="C831" s="62" t="n"/>
      <c r="D831" s="62" t="n"/>
      <c r="E831" s="62" t="n"/>
      <c r="F831" s="62" t="n"/>
      <c r="G831" s="63" t="n"/>
      <c r="H831" s="62" t="n"/>
      <c r="K831">
        <f>IF($C831="","",IF(COUNTIF($C$3:$C831,$C831)=1,$C831,""))</f>
        <v/>
      </c>
      <c r="L831">
        <f>IF($K831="","",$M831+ROW()/10000000)</f>
        <v/>
      </c>
      <c r="M831">
        <f>IF($K831="","",SUMIF($C$3:$C$1002,$K831,$G$3:$G$1002))</f>
        <v/>
      </c>
      <c r="N831">
        <f>IF($K831="","",COUNTIF($C$3:$C$1002,$K831))</f>
        <v/>
      </c>
      <c r="P831">
        <f>IF($A831="","",$A831*100000+ROW())</f>
        <v/>
      </c>
    </row>
    <row r="832" ht="18" customHeight="1">
      <c r="A832" s="60" t="n"/>
      <c r="B832" s="61">
        <f>IF(A832="","",TEXT(A832,"mmm yyyy"))</f>
        <v/>
      </c>
      <c r="C832" s="62" t="n"/>
      <c r="D832" s="62" t="n"/>
      <c r="E832" s="62" t="n"/>
      <c r="F832" s="62" t="n"/>
      <c r="G832" s="63" t="n"/>
      <c r="H832" s="62" t="n"/>
      <c r="K832">
        <f>IF($C832="","",IF(COUNTIF($C$3:$C832,$C832)=1,$C832,""))</f>
        <v/>
      </c>
      <c r="L832">
        <f>IF($K832="","",$M832+ROW()/10000000)</f>
        <v/>
      </c>
      <c r="M832">
        <f>IF($K832="","",SUMIF($C$3:$C$1002,$K832,$G$3:$G$1002))</f>
        <v/>
      </c>
      <c r="N832">
        <f>IF($K832="","",COUNTIF($C$3:$C$1002,$K832))</f>
        <v/>
      </c>
      <c r="P832">
        <f>IF($A832="","",$A832*100000+ROW())</f>
        <v/>
      </c>
    </row>
    <row r="833" ht="18" customHeight="1">
      <c r="A833" s="60" t="n"/>
      <c r="B833" s="61">
        <f>IF(A833="","",TEXT(A833,"mmm yyyy"))</f>
        <v/>
      </c>
      <c r="C833" s="62" t="n"/>
      <c r="D833" s="62" t="n"/>
      <c r="E833" s="62" t="n"/>
      <c r="F833" s="62" t="n"/>
      <c r="G833" s="63" t="n"/>
      <c r="H833" s="62" t="n"/>
      <c r="K833">
        <f>IF($C833="","",IF(COUNTIF($C$3:$C833,$C833)=1,$C833,""))</f>
        <v/>
      </c>
      <c r="L833">
        <f>IF($K833="","",$M833+ROW()/10000000)</f>
        <v/>
      </c>
      <c r="M833">
        <f>IF($K833="","",SUMIF($C$3:$C$1002,$K833,$G$3:$G$1002))</f>
        <v/>
      </c>
      <c r="N833">
        <f>IF($K833="","",COUNTIF($C$3:$C$1002,$K833))</f>
        <v/>
      </c>
      <c r="P833">
        <f>IF($A833="","",$A833*100000+ROW())</f>
        <v/>
      </c>
    </row>
    <row r="834" ht="18" customHeight="1">
      <c r="A834" s="60" t="n"/>
      <c r="B834" s="61">
        <f>IF(A834="","",TEXT(A834,"mmm yyyy"))</f>
        <v/>
      </c>
      <c r="C834" s="62" t="n"/>
      <c r="D834" s="62" t="n"/>
      <c r="E834" s="62" t="n"/>
      <c r="F834" s="62" t="n"/>
      <c r="G834" s="63" t="n"/>
      <c r="H834" s="62" t="n"/>
      <c r="K834">
        <f>IF($C834="","",IF(COUNTIF($C$3:$C834,$C834)=1,$C834,""))</f>
        <v/>
      </c>
      <c r="L834">
        <f>IF($K834="","",$M834+ROW()/10000000)</f>
        <v/>
      </c>
      <c r="M834">
        <f>IF($K834="","",SUMIF($C$3:$C$1002,$K834,$G$3:$G$1002))</f>
        <v/>
      </c>
      <c r="N834">
        <f>IF($K834="","",COUNTIF($C$3:$C$1002,$K834))</f>
        <v/>
      </c>
      <c r="P834">
        <f>IF($A834="","",$A834*100000+ROW())</f>
        <v/>
      </c>
    </row>
    <row r="835" ht="18" customHeight="1">
      <c r="A835" s="60" t="n"/>
      <c r="B835" s="61">
        <f>IF(A835="","",TEXT(A835,"mmm yyyy"))</f>
        <v/>
      </c>
      <c r="C835" s="62" t="n"/>
      <c r="D835" s="62" t="n"/>
      <c r="E835" s="62" t="n"/>
      <c r="F835" s="62" t="n"/>
      <c r="G835" s="63" t="n"/>
      <c r="H835" s="62" t="n"/>
      <c r="K835">
        <f>IF($C835="","",IF(COUNTIF($C$3:$C835,$C835)=1,$C835,""))</f>
        <v/>
      </c>
      <c r="L835">
        <f>IF($K835="","",$M835+ROW()/10000000)</f>
        <v/>
      </c>
      <c r="M835">
        <f>IF($K835="","",SUMIF($C$3:$C$1002,$K835,$G$3:$G$1002))</f>
        <v/>
      </c>
      <c r="N835">
        <f>IF($K835="","",COUNTIF($C$3:$C$1002,$K835))</f>
        <v/>
      </c>
      <c r="P835">
        <f>IF($A835="","",$A835*100000+ROW())</f>
        <v/>
      </c>
    </row>
    <row r="836" ht="18" customHeight="1">
      <c r="A836" s="60" t="n"/>
      <c r="B836" s="61">
        <f>IF(A836="","",TEXT(A836,"mmm yyyy"))</f>
        <v/>
      </c>
      <c r="C836" s="62" t="n"/>
      <c r="D836" s="62" t="n"/>
      <c r="E836" s="62" t="n"/>
      <c r="F836" s="62" t="n"/>
      <c r="G836" s="63" t="n"/>
      <c r="H836" s="62" t="n"/>
      <c r="K836">
        <f>IF($C836="","",IF(COUNTIF($C$3:$C836,$C836)=1,$C836,""))</f>
        <v/>
      </c>
      <c r="L836">
        <f>IF($K836="","",$M836+ROW()/10000000)</f>
        <v/>
      </c>
      <c r="M836">
        <f>IF($K836="","",SUMIF($C$3:$C$1002,$K836,$G$3:$G$1002))</f>
        <v/>
      </c>
      <c r="N836">
        <f>IF($K836="","",COUNTIF($C$3:$C$1002,$K836))</f>
        <v/>
      </c>
      <c r="P836">
        <f>IF($A836="","",$A836*100000+ROW())</f>
        <v/>
      </c>
    </row>
    <row r="837" ht="18" customHeight="1">
      <c r="A837" s="60" t="n"/>
      <c r="B837" s="61">
        <f>IF(A837="","",TEXT(A837,"mmm yyyy"))</f>
        <v/>
      </c>
      <c r="C837" s="62" t="n"/>
      <c r="D837" s="62" t="n"/>
      <c r="E837" s="62" t="n"/>
      <c r="F837" s="62" t="n"/>
      <c r="G837" s="63" t="n"/>
      <c r="H837" s="62" t="n"/>
      <c r="K837">
        <f>IF($C837="","",IF(COUNTIF($C$3:$C837,$C837)=1,$C837,""))</f>
        <v/>
      </c>
      <c r="L837">
        <f>IF($K837="","",$M837+ROW()/10000000)</f>
        <v/>
      </c>
      <c r="M837">
        <f>IF($K837="","",SUMIF($C$3:$C$1002,$K837,$G$3:$G$1002))</f>
        <v/>
      </c>
      <c r="N837">
        <f>IF($K837="","",COUNTIF($C$3:$C$1002,$K837))</f>
        <v/>
      </c>
      <c r="P837">
        <f>IF($A837="","",$A837*100000+ROW())</f>
        <v/>
      </c>
    </row>
    <row r="838" ht="18" customHeight="1">
      <c r="A838" s="60" t="n"/>
      <c r="B838" s="61">
        <f>IF(A838="","",TEXT(A838,"mmm yyyy"))</f>
        <v/>
      </c>
      <c r="C838" s="62" t="n"/>
      <c r="D838" s="62" t="n"/>
      <c r="E838" s="62" t="n"/>
      <c r="F838" s="62" t="n"/>
      <c r="G838" s="63" t="n"/>
      <c r="H838" s="62" t="n"/>
      <c r="K838">
        <f>IF($C838="","",IF(COUNTIF($C$3:$C838,$C838)=1,$C838,""))</f>
        <v/>
      </c>
      <c r="L838">
        <f>IF($K838="","",$M838+ROW()/10000000)</f>
        <v/>
      </c>
      <c r="M838">
        <f>IF($K838="","",SUMIF($C$3:$C$1002,$K838,$G$3:$G$1002))</f>
        <v/>
      </c>
      <c r="N838">
        <f>IF($K838="","",COUNTIF($C$3:$C$1002,$K838))</f>
        <v/>
      </c>
      <c r="P838">
        <f>IF($A838="","",$A838*100000+ROW())</f>
        <v/>
      </c>
    </row>
    <row r="839" ht="18" customHeight="1">
      <c r="A839" s="60" t="n"/>
      <c r="B839" s="61">
        <f>IF(A839="","",TEXT(A839,"mmm yyyy"))</f>
        <v/>
      </c>
      <c r="C839" s="62" t="n"/>
      <c r="D839" s="62" t="n"/>
      <c r="E839" s="62" t="n"/>
      <c r="F839" s="62" t="n"/>
      <c r="G839" s="63" t="n"/>
      <c r="H839" s="62" t="n"/>
      <c r="K839">
        <f>IF($C839="","",IF(COUNTIF($C$3:$C839,$C839)=1,$C839,""))</f>
        <v/>
      </c>
      <c r="L839">
        <f>IF($K839="","",$M839+ROW()/10000000)</f>
        <v/>
      </c>
      <c r="M839">
        <f>IF($K839="","",SUMIF($C$3:$C$1002,$K839,$G$3:$G$1002))</f>
        <v/>
      </c>
      <c r="N839">
        <f>IF($K839="","",COUNTIF($C$3:$C$1002,$K839))</f>
        <v/>
      </c>
      <c r="P839">
        <f>IF($A839="","",$A839*100000+ROW())</f>
        <v/>
      </c>
    </row>
    <row r="840" ht="18" customHeight="1">
      <c r="A840" s="60" t="n"/>
      <c r="B840" s="61">
        <f>IF(A840="","",TEXT(A840,"mmm yyyy"))</f>
        <v/>
      </c>
      <c r="C840" s="62" t="n"/>
      <c r="D840" s="62" t="n"/>
      <c r="E840" s="62" t="n"/>
      <c r="F840" s="62" t="n"/>
      <c r="G840" s="63" t="n"/>
      <c r="H840" s="62" t="n"/>
      <c r="K840">
        <f>IF($C840="","",IF(COUNTIF($C$3:$C840,$C840)=1,$C840,""))</f>
        <v/>
      </c>
      <c r="L840">
        <f>IF($K840="","",$M840+ROW()/10000000)</f>
        <v/>
      </c>
      <c r="M840">
        <f>IF($K840="","",SUMIF($C$3:$C$1002,$K840,$G$3:$G$1002))</f>
        <v/>
      </c>
      <c r="N840">
        <f>IF($K840="","",COUNTIF($C$3:$C$1002,$K840))</f>
        <v/>
      </c>
      <c r="P840">
        <f>IF($A840="","",$A840*100000+ROW())</f>
        <v/>
      </c>
    </row>
    <row r="841" ht="18" customHeight="1">
      <c r="A841" s="60" t="n"/>
      <c r="B841" s="61">
        <f>IF(A841="","",TEXT(A841,"mmm yyyy"))</f>
        <v/>
      </c>
      <c r="C841" s="62" t="n"/>
      <c r="D841" s="62" t="n"/>
      <c r="E841" s="62" t="n"/>
      <c r="F841" s="62" t="n"/>
      <c r="G841" s="63" t="n"/>
      <c r="H841" s="62" t="n"/>
      <c r="K841">
        <f>IF($C841="","",IF(COUNTIF($C$3:$C841,$C841)=1,$C841,""))</f>
        <v/>
      </c>
      <c r="L841">
        <f>IF($K841="","",$M841+ROW()/10000000)</f>
        <v/>
      </c>
      <c r="M841">
        <f>IF($K841="","",SUMIF($C$3:$C$1002,$K841,$G$3:$G$1002))</f>
        <v/>
      </c>
      <c r="N841">
        <f>IF($K841="","",COUNTIF($C$3:$C$1002,$K841))</f>
        <v/>
      </c>
      <c r="P841">
        <f>IF($A841="","",$A841*100000+ROW())</f>
        <v/>
      </c>
    </row>
    <row r="842" ht="18" customHeight="1">
      <c r="A842" s="60" t="n"/>
      <c r="B842" s="61">
        <f>IF(A842="","",TEXT(A842,"mmm yyyy"))</f>
        <v/>
      </c>
      <c r="C842" s="62" t="n"/>
      <c r="D842" s="62" t="n"/>
      <c r="E842" s="62" t="n"/>
      <c r="F842" s="62" t="n"/>
      <c r="G842" s="63" t="n"/>
      <c r="H842" s="62" t="n"/>
      <c r="K842">
        <f>IF($C842="","",IF(COUNTIF($C$3:$C842,$C842)=1,$C842,""))</f>
        <v/>
      </c>
      <c r="L842">
        <f>IF($K842="","",$M842+ROW()/10000000)</f>
        <v/>
      </c>
      <c r="M842">
        <f>IF($K842="","",SUMIF($C$3:$C$1002,$K842,$G$3:$G$1002))</f>
        <v/>
      </c>
      <c r="N842">
        <f>IF($K842="","",COUNTIF($C$3:$C$1002,$K842))</f>
        <v/>
      </c>
      <c r="P842">
        <f>IF($A842="","",$A842*100000+ROW())</f>
        <v/>
      </c>
    </row>
    <row r="843" ht="18" customHeight="1">
      <c r="A843" s="60" t="n"/>
      <c r="B843" s="61">
        <f>IF(A843="","",TEXT(A843,"mmm yyyy"))</f>
        <v/>
      </c>
      <c r="C843" s="62" t="n"/>
      <c r="D843" s="62" t="n"/>
      <c r="E843" s="62" t="n"/>
      <c r="F843" s="62" t="n"/>
      <c r="G843" s="63" t="n"/>
      <c r="H843" s="62" t="n"/>
      <c r="K843">
        <f>IF($C843="","",IF(COUNTIF($C$3:$C843,$C843)=1,$C843,""))</f>
        <v/>
      </c>
      <c r="L843">
        <f>IF($K843="","",$M843+ROW()/10000000)</f>
        <v/>
      </c>
      <c r="M843">
        <f>IF($K843="","",SUMIF($C$3:$C$1002,$K843,$G$3:$G$1002))</f>
        <v/>
      </c>
      <c r="N843">
        <f>IF($K843="","",COUNTIF($C$3:$C$1002,$K843))</f>
        <v/>
      </c>
      <c r="P843">
        <f>IF($A843="","",$A843*100000+ROW())</f>
        <v/>
      </c>
    </row>
    <row r="844" ht="18" customHeight="1">
      <c r="A844" s="60" t="n"/>
      <c r="B844" s="61">
        <f>IF(A844="","",TEXT(A844,"mmm yyyy"))</f>
        <v/>
      </c>
      <c r="C844" s="62" t="n"/>
      <c r="D844" s="62" t="n"/>
      <c r="E844" s="62" t="n"/>
      <c r="F844" s="62" t="n"/>
      <c r="G844" s="63" t="n"/>
      <c r="H844" s="62" t="n"/>
      <c r="K844">
        <f>IF($C844="","",IF(COUNTIF($C$3:$C844,$C844)=1,$C844,""))</f>
        <v/>
      </c>
      <c r="L844">
        <f>IF($K844="","",$M844+ROW()/10000000)</f>
        <v/>
      </c>
      <c r="M844">
        <f>IF($K844="","",SUMIF($C$3:$C$1002,$K844,$G$3:$G$1002))</f>
        <v/>
      </c>
      <c r="N844">
        <f>IF($K844="","",COUNTIF($C$3:$C$1002,$K844))</f>
        <v/>
      </c>
      <c r="P844">
        <f>IF($A844="","",$A844*100000+ROW())</f>
        <v/>
      </c>
    </row>
    <row r="845" ht="18" customHeight="1">
      <c r="A845" s="60" t="n"/>
      <c r="B845" s="61">
        <f>IF(A845="","",TEXT(A845,"mmm yyyy"))</f>
        <v/>
      </c>
      <c r="C845" s="62" t="n"/>
      <c r="D845" s="62" t="n"/>
      <c r="E845" s="62" t="n"/>
      <c r="F845" s="62" t="n"/>
      <c r="G845" s="63" t="n"/>
      <c r="H845" s="62" t="n"/>
      <c r="K845">
        <f>IF($C845="","",IF(COUNTIF($C$3:$C845,$C845)=1,$C845,""))</f>
        <v/>
      </c>
      <c r="L845">
        <f>IF($K845="","",$M845+ROW()/10000000)</f>
        <v/>
      </c>
      <c r="M845">
        <f>IF($K845="","",SUMIF($C$3:$C$1002,$K845,$G$3:$G$1002))</f>
        <v/>
      </c>
      <c r="N845">
        <f>IF($K845="","",COUNTIF($C$3:$C$1002,$K845))</f>
        <v/>
      </c>
      <c r="P845">
        <f>IF($A845="","",$A845*100000+ROW())</f>
        <v/>
      </c>
    </row>
    <row r="846" ht="18" customHeight="1">
      <c r="A846" s="60" t="n"/>
      <c r="B846" s="61">
        <f>IF(A846="","",TEXT(A846,"mmm yyyy"))</f>
        <v/>
      </c>
      <c r="C846" s="62" t="n"/>
      <c r="D846" s="62" t="n"/>
      <c r="E846" s="62" t="n"/>
      <c r="F846" s="62" t="n"/>
      <c r="G846" s="63" t="n"/>
      <c r="H846" s="62" t="n"/>
      <c r="K846">
        <f>IF($C846="","",IF(COUNTIF($C$3:$C846,$C846)=1,$C846,""))</f>
        <v/>
      </c>
      <c r="L846">
        <f>IF($K846="","",$M846+ROW()/10000000)</f>
        <v/>
      </c>
      <c r="M846">
        <f>IF($K846="","",SUMIF($C$3:$C$1002,$K846,$G$3:$G$1002))</f>
        <v/>
      </c>
      <c r="N846">
        <f>IF($K846="","",COUNTIF($C$3:$C$1002,$K846))</f>
        <v/>
      </c>
      <c r="P846">
        <f>IF($A846="","",$A846*100000+ROW())</f>
        <v/>
      </c>
    </row>
    <row r="847" ht="18" customHeight="1">
      <c r="A847" s="60" t="n"/>
      <c r="B847" s="61">
        <f>IF(A847="","",TEXT(A847,"mmm yyyy"))</f>
        <v/>
      </c>
      <c r="C847" s="62" t="n"/>
      <c r="D847" s="62" t="n"/>
      <c r="E847" s="62" t="n"/>
      <c r="F847" s="62" t="n"/>
      <c r="G847" s="63" t="n"/>
      <c r="H847" s="62" t="n"/>
      <c r="K847">
        <f>IF($C847="","",IF(COUNTIF($C$3:$C847,$C847)=1,$C847,""))</f>
        <v/>
      </c>
      <c r="L847">
        <f>IF($K847="","",$M847+ROW()/10000000)</f>
        <v/>
      </c>
      <c r="M847">
        <f>IF($K847="","",SUMIF($C$3:$C$1002,$K847,$G$3:$G$1002))</f>
        <v/>
      </c>
      <c r="N847">
        <f>IF($K847="","",COUNTIF($C$3:$C$1002,$K847))</f>
        <v/>
      </c>
      <c r="P847">
        <f>IF($A847="","",$A847*100000+ROW())</f>
        <v/>
      </c>
    </row>
    <row r="848" ht="18" customHeight="1">
      <c r="A848" s="60" t="n"/>
      <c r="B848" s="61">
        <f>IF(A848="","",TEXT(A848,"mmm yyyy"))</f>
        <v/>
      </c>
      <c r="C848" s="62" t="n"/>
      <c r="D848" s="62" t="n"/>
      <c r="E848" s="62" t="n"/>
      <c r="F848" s="62" t="n"/>
      <c r="G848" s="63" t="n"/>
      <c r="H848" s="62" t="n"/>
      <c r="K848">
        <f>IF($C848="","",IF(COUNTIF($C$3:$C848,$C848)=1,$C848,""))</f>
        <v/>
      </c>
      <c r="L848">
        <f>IF($K848="","",$M848+ROW()/10000000)</f>
        <v/>
      </c>
      <c r="M848">
        <f>IF($K848="","",SUMIF($C$3:$C$1002,$K848,$G$3:$G$1002))</f>
        <v/>
      </c>
      <c r="N848">
        <f>IF($K848="","",COUNTIF($C$3:$C$1002,$K848))</f>
        <v/>
      </c>
      <c r="P848">
        <f>IF($A848="","",$A848*100000+ROW())</f>
        <v/>
      </c>
    </row>
    <row r="849" ht="18" customHeight="1">
      <c r="A849" s="60" t="n"/>
      <c r="B849" s="61">
        <f>IF(A849="","",TEXT(A849,"mmm yyyy"))</f>
        <v/>
      </c>
      <c r="C849" s="62" t="n"/>
      <c r="D849" s="62" t="n"/>
      <c r="E849" s="62" t="n"/>
      <c r="F849" s="62" t="n"/>
      <c r="G849" s="63" t="n"/>
      <c r="H849" s="62" t="n"/>
      <c r="K849">
        <f>IF($C849="","",IF(COUNTIF($C$3:$C849,$C849)=1,$C849,""))</f>
        <v/>
      </c>
      <c r="L849">
        <f>IF($K849="","",$M849+ROW()/10000000)</f>
        <v/>
      </c>
      <c r="M849">
        <f>IF($K849="","",SUMIF($C$3:$C$1002,$K849,$G$3:$G$1002))</f>
        <v/>
      </c>
      <c r="N849">
        <f>IF($K849="","",COUNTIF($C$3:$C$1002,$K849))</f>
        <v/>
      </c>
      <c r="P849">
        <f>IF($A849="","",$A849*100000+ROW())</f>
        <v/>
      </c>
    </row>
    <row r="850" ht="18" customHeight="1">
      <c r="A850" s="60" t="n"/>
      <c r="B850" s="61">
        <f>IF(A850="","",TEXT(A850,"mmm yyyy"))</f>
        <v/>
      </c>
      <c r="C850" s="62" t="n"/>
      <c r="D850" s="62" t="n"/>
      <c r="E850" s="62" t="n"/>
      <c r="F850" s="62" t="n"/>
      <c r="G850" s="63" t="n"/>
      <c r="H850" s="62" t="n"/>
      <c r="K850">
        <f>IF($C850="","",IF(COUNTIF($C$3:$C850,$C850)=1,$C850,""))</f>
        <v/>
      </c>
      <c r="L850">
        <f>IF($K850="","",$M850+ROW()/10000000)</f>
        <v/>
      </c>
      <c r="M850">
        <f>IF($K850="","",SUMIF($C$3:$C$1002,$K850,$G$3:$G$1002))</f>
        <v/>
      </c>
      <c r="N850">
        <f>IF($K850="","",COUNTIF($C$3:$C$1002,$K850))</f>
        <v/>
      </c>
      <c r="P850">
        <f>IF($A850="","",$A850*100000+ROW())</f>
        <v/>
      </c>
    </row>
    <row r="851" ht="18" customHeight="1">
      <c r="A851" s="60" t="n"/>
      <c r="B851" s="61">
        <f>IF(A851="","",TEXT(A851,"mmm yyyy"))</f>
        <v/>
      </c>
      <c r="C851" s="62" t="n"/>
      <c r="D851" s="62" t="n"/>
      <c r="E851" s="62" t="n"/>
      <c r="F851" s="62" t="n"/>
      <c r="G851" s="63" t="n"/>
      <c r="H851" s="62" t="n"/>
      <c r="K851">
        <f>IF($C851="","",IF(COUNTIF($C$3:$C851,$C851)=1,$C851,""))</f>
        <v/>
      </c>
      <c r="L851">
        <f>IF($K851="","",$M851+ROW()/10000000)</f>
        <v/>
      </c>
      <c r="M851">
        <f>IF($K851="","",SUMIF($C$3:$C$1002,$K851,$G$3:$G$1002))</f>
        <v/>
      </c>
      <c r="N851">
        <f>IF($K851="","",COUNTIF($C$3:$C$1002,$K851))</f>
        <v/>
      </c>
      <c r="P851">
        <f>IF($A851="","",$A851*100000+ROW())</f>
        <v/>
      </c>
    </row>
    <row r="852" ht="18" customHeight="1">
      <c r="A852" s="60" t="n"/>
      <c r="B852" s="61">
        <f>IF(A852="","",TEXT(A852,"mmm yyyy"))</f>
        <v/>
      </c>
      <c r="C852" s="62" t="n"/>
      <c r="D852" s="62" t="n"/>
      <c r="E852" s="62" t="n"/>
      <c r="F852" s="62" t="n"/>
      <c r="G852" s="63" t="n"/>
      <c r="H852" s="62" t="n"/>
      <c r="K852">
        <f>IF($C852="","",IF(COUNTIF($C$3:$C852,$C852)=1,$C852,""))</f>
        <v/>
      </c>
      <c r="L852">
        <f>IF($K852="","",$M852+ROW()/10000000)</f>
        <v/>
      </c>
      <c r="M852">
        <f>IF($K852="","",SUMIF($C$3:$C$1002,$K852,$G$3:$G$1002))</f>
        <v/>
      </c>
      <c r="N852">
        <f>IF($K852="","",COUNTIF($C$3:$C$1002,$K852))</f>
        <v/>
      </c>
      <c r="P852">
        <f>IF($A852="","",$A852*100000+ROW())</f>
        <v/>
      </c>
    </row>
    <row r="853" ht="18" customHeight="1">
      <c r="A853" s="60" t="n"/>
      <c r="B853" s="61">
        <f>IF(A853="","",TEXT(A853,"mmm yyyy"))</f>
        <v/>
      </c>
      <c r="C853" s="62" t="n"/>
      <c r="D853" s="62" t="n"/>
      <c r="E853" s="62" t="n"/>
      <c r="F853" s="62" t="n"/>
      <c r="G853" s="63" t="n"/>
      <c r="H853" s="62" t="n"/>
      <c r="K853">
        <f>IF($C853="","",IF(COUNTIF($C$3:$C853,$C853)=1,$C853,""))</f>
        <v/>
      </c>
      <c r="L853">
        <f>IF($K853="","",$M853+ROW()/10000000)</f>
        <v/>
      </c>
      <c r="M853">
        <f>IF($K853="","",SUMIF($C$3:$C$1002,$K853,$G$3:$G$1002))</f>
        <v/>
      </c>
      <c r="N853">
        <f>IF($K853="","",COUNTIF($C$3:$C$1002,$K853))</f>
        <v/>
      </c>
      <c r="P853">
        <f>IF($A853="","",$A853*100000+ROW())</f>
        <v/>
      </c>
    </row>
    <row r="854" ht="18" customHeight="1">
      <c r="A854" s="60" t="n"/>
      <c r="B854" s="61">
        <f>IF(A854="","",TEXT(A854,"mmm yyyy"))</f>
        <v/>
      </c>
      <c r="C854" s="62" t="n"/>
      <c r="D854" s="62" t="n"/>
      <c r="E854" s="62" t="n"/>
      <c r="F854" s="62" t="n"/>
      <c r="G854" s="63" t="n"/>
      <c r="H854" s="62" t="n"/>
      <c r="K854">
        <f>IF($C854="","",IF(COUNTIF($C$3:$C854,$C854)=1,$C854,""))</f>
        <v/>
      </c>
      <c r="L854">
        <f>IF($K854="","",$M854+ROW()/10000000)</f>
        <v/>
      </c>
      <c r="M854">
        <f>IF($K854="","",SUMIF($C$3:$C$1002,$K854,$G$3:$G$1002))</f>
        <v/>
      </c>
      <c r="N854">
        <f>IF($K854="","",COUNTIF($C$3:$C$1002,$K854))</f>
        <v/>
      </c>
      <c r="P854">
        <f>IF($A854="","",$A854*100000+ROW())</f>
        <v/>
      </c>
    </row>
    <row r="855" ht="18" customHeight="1">
      <c r="A855" s="60" t="n"/>
      <c r="B855" s="61">
        <f>IF(A855="","",TEXT(A855,"mmm yyyy"))</f>
        <v/>
      </c>
      <c r="C855" s="62" t="n"/>
      <c r="D855" s="62" t="n"/>
      <c r="E855" s="62" t="n"/>
      <c r="F855" s="62" t="n"/>
      <c r="G855" s="63" t="n"/>
      <c r="H855" s="62" t="n"/>
      <c r="K855">
        <f>IF($C855="","",IF(COUNTIF($C$3:$C855,$C855)=1,$C855,""))</f>
        <v/>
      </c>
      <c r="L855">
        <f>IF($K855="","",$M855+ROW()/10000000)</f>
        <v/>
      </c>
      <c r="M855">
        <f>IF($K855="","",SUMIF($C$3:$C$1002,$K855,$G$3:$G$1002))</f>
        <v/>
      </c>
      <c r="N855">
        <f>IF($K855="","",COUNTIF($C$3:$C$1002,$K855))</f>
        <v/>
      </c>
      <c r="P855">
        <f>IF($A855="","",$A855*100000+ROW())</f>
        <v/>
      </c>
    </row>
    <row r="856" ht="18" customHeight="1">
      <c r="A856" s="60" t="n"/>
      <c r="B856" s="61">
        <f>IF(A856="","",TEXT(A856,"mmm yyyy"))</f>
        <v/>
      </c>
      <c r="C856" s="62" t="n"/>
      <c r="D856" s="62" t="n"/>
      <c r="E856" s="62" t="n"/>
      <c r="F856" s="62" t="n"/>
      <c r="G856" s="63" t="n"/>
      <c r="H856" s="62" t="n"/>
      <c r="K856">
        <f>IF($C856="","",IF(COUNTIF($C$3:$C856,$C856)=1,$C856,""))</f>
        <v/>
      </c>
      <c r="L856">
        <f>IF($K856="","",$M856+ROW()/10000000)</f>
        <v/>
      </c>
      <c r="M856">
        <f>IF($K856="","",SUMIF($C$3:$C$1002,$K856,$G$3:$G$1002))</f>
        <v/>
      </c>
      <c r="N856">
        <f>IF($K856="","",COUNTIF($C$3:$C$1002,$K856))</f>
        <v/>
      </c>
      <c r="P856">
        <f>IF($A856="","",$A856*100000+ROW())</f>
        <v/>
      </c>
    </row>
    <row r="857" ht="18" customHeight="1">
      <c r="A857" s="60" t="n"/>
      <c r="B857" s="61">
        <f>IF(A857="","",TEXT(A857,"mmm yyyy"))</f>
        <v/>
      </c>
      <c r="C857" s="62" t="n"/>
      <c r="D857" s="62" t="n"/>
      <c r="E857" s="62" t="n"/>
      <c r="F857" s="62" t="n"/>
      <c r="G857" s="63" t="n"/>
      <c r="H857" s="62" t="n"/>
      <c r="K857">
        <f>IF($C857="","",IF(COUNTIF($C$3:$C857,$C857)=1,$C857,""))</f>
        <v/>
      </c>
      <c r="L857">
        <f>IF($K857="","",$M857+ROW()/10000000)</f>
        <v/>
      </c>
      <c r="M857">
        <f>IF($K857="","",SUMIF($C$3:$C$1002,$K857,$G$3:$G$1002))</f>
        <v/>
      </c>
      <c r="N857">
        <f>IF($K857="","",COUNTIF($C$3:$C$1002,$K857))</f>
        <v/>
      </c>
      <c r="P857">
        <f>IF($A857="","",$A857*100000+ROW())</f>
        <v/>
      </c>
    </row>
    <row r="858" ht="18" customHeight="1">
      <c r="A858" s="60" t="n"/>
      <c r="B858" s="61">
        <f>IF(A858="","",TEXT(A858,"mmm yyyy"))</f>
        <v/>
      </c>
      <c r="C858" s="62" t="n"/>
      <c r="D858" s="62" t="n"/>
      <c r="E858" s="62" t="n"/>
      <c r="F858" s="62" t="n"/>
      <c r="G858" s="63" t="n"/>
      <c r="H858" s="62" t="n"/>
      <c r="K858">
        <f>IF($C858="","",IF(COUNTIF($C$3:$C858,$C858)=1,$C858,""))</f>
        <v/>
      </c>
      <c r="L858">
        <f>IF($K858="","",$M858+ROW()/10000000)</f>
        <v/>
      </c>
      <c r="M858">
        <f>IF($K858="","",SUMIF($C$3:$C$1002,$K858,$G$3:$G$1002))</f>
        <v/>
      </c>
      <c r="N858">
        <f>IF($K858="","",COUNTIF($C$3:$C$1002,$K858))</f>
        <v/>
      </c>
      <c r="P858">
        <f>IF($A858="","",$A858*100000+ROW())</f>
        <v/>
      </c>
    </row>
    <row r="859" ht="18" customHeight="1">
      <c r="A859" s="60" t="n"/>
      <c r="B859" s="61">
        <f>IF(A859="","",TEXT(A859,"mmm yyyy"))</f>
        <v/>
      </c>
      <c r="C859" s="62" t="n"/>
      <c r="D859" s="62" t="n"/>
      <c r="E859" s="62" t="n"/>
      <c r="F859" s="62" t="n"/>
      <c r="G859" s="63" t="n"/>
      <c r="H859" s="62" t="n"/>
      <c r="K859">
        <f>IF($C859="","",IF(COUNTIF($C$3:$C859,$C859)=1,$C859,""))</f>
        <v/>
      </c>
      <c r="L859">
        <f>IF($K859="","",$M859+ROW()/10000000)</f>
        <v/>
      </c>
      <c r="M859">
        <f>IF($K859="","",SUMIF($C$3:$C$1002,$K859,$G$3:$G$1002))</f>
        <v/>
      </c>
      <c r="N859">
        <f>IF($K859="","",COUNTIF($C$3:$C$1002,$K859))</f>
        <v/>
      </c>
      <c r="P859">
        <f>IF($A859="","",$A859*100000+ROW())</f>
        <v/>
      </c>
    </row>
    <row r="860" ht="18" customHeight="1">
      <c r="A860" s="60" t="n"/>
      <c r="B860" s="61">
        <f>IF(A860="","",TEXT(A860,"mmm yyyy"))</f>
        <v/>
      </c>
      <c r="C860" s="62" t="n"/>
      <c r="D860" s="62" t="n"/>
      <c r="E860" s="62" t="n"/>
      <c r="F860" s="62" t="n"/>
      <c r="G860" s="63" t="n"/>
      <c r="H860" s="62" t="n"/>
      <c r="K860">
        <f>IF($C860="","",IF(COUNTIF($C$3:$C860,$C860)=1,$C860,""))</f>
        <v/>
      </c>
      <c r="L860">
        <f>IF($K860="","",$M860+ROW()/10000000)</f>
        <v/>
      </c>
      <c r="M860">
        <f>IF($K860="","",SUMIF($C$3:$C$1002,$K860,$G$3:$G$1002))</f>
        <v/>
      </c>
      <c r="N860">
        <f>IF($K860="","",COUNTIF($C$3:$C$1002,$K860))</f>
        <v/>
      </c>
      <c r="P860">
        <f>IF($A860="","",$A860*100000+ROW())</f>
        <v/>
      </c>
    </row>
    <row r="861" ht="18" customHeight="1">
      <c r="A861" s="60" t="n"/>
      <c r="B861" s="61">
        <f>IF(A861="","",TEXT(A861,"mmm yyyy"))</f>
        <v/>
      </c>
      <c r="C861" s="62" t="n"/>
      <c r="D861" s="62" t="n"/>
      <c r="E861" s="62" t="n"/>
      <c r="F861" s="62" t="n"/>
      <c r="G861" s="63" t="n"/>
      <c r="H861" s="62" t="n"/>
      <c r="K861">
        <f>IF($C861="","",IF(COUNTIF($C$3:$C861,$C861)=1,$C861,""))</f>
        <v/>
      </c>
      <c r="L861">
        <f>IF($K861="","",$M861+ROW()/10000000)</f>
        <v/>
      </c>
      <c r="M861">
        <f>IF($K861="","",SUMIF($C$3:$C$1002,$K861,$G$3:$G$1002))</f>
        <v/>
      </c>
      <c r="N861">
        <f>IF($K861="","",COUNTIF($C$3:$C$1002,$K861))</f>
        <v/>
      </c>
      <c r="P861">
        <f>IF($A861="","",$A861*100000+ROW())</f>
        <v/>
      </c>
    </row>
    <row r="862" ht="18" customHeight="1">
      <c r="A862" s="60" t="n"/>
      <c r="B862" s="61">
        <f>IF(A862="","",TEXT(A862,"mmm yyyy"))</f>
        <v/>
      </c>
      <c r="C862" s="62" t="n"/>
      <c r="D862" s="62" t="n"/>
      <c r="E862" s="62" t="n"/>
      <c r="F862" s="62" t="n"/>
      <c r="G862" s="63" t="n"/>
      <c r="H862" s="62" t="n"/>
      <c r="K862">
        <f>IF($C862="","",IF(COUNTIF($C$3:$C862,$C862)=1,$C862,""))</f>
        <v/>
      </c>
      <c r="L862">
        <f>IF($K862="","",$M862+ROW()/10000000)</f>
        <v/>
      </c>
      <c r="M862">
        <f>IF($K862="","",SUMIF($C$3:$C$1002,$K862,$G$3:$G$1002))</f>
        <v/>
      </c>
      <c r="N862">
        <f>IF($K862="","",COUNTIF($C$3:$C$1002,$K862))</f>
        <v/>
      </c>
      <c r="P862">
        <f>IF($A862="","",$A862*100000+ROW())</f>
        <v/>
      </c>
    </row>
    <row r="863" ht="18" customHeight="1">
      <c r="A863" s="60" t="n"/>
      <c r="B863" s="61">
        <f>IF(A863="","",TEXT(A863,"mmm yyyy"))</f>
        <v/>
      </c>
      <c r="C863" s="62" t="n"/>
      <c r="D863" s="62" t="n"/>
      <c r="E863" s="62" t="n"/>
      <c r="F863" s="62" t="n"/>
      <c r="G863" s="63" t="n"/>
      <c r="H863" s="62" t="n"/>
      <c r="K863">
        <f>IF($C863="","",IF(COUNTIF($C$3:$C863,$C863)=1,$C863,""))</f>
        <v/>
      </c>
      <c r="L863">
        <f>IF($K863="","",$M863+ROW()/10000000)</f>
        <v/>
      </c>
      <c r="M863">
        <f>IF($K863="","",SUMIF($C$3:$C$1002,$K863,$G$3:$G$1002))</f>
        <v/>
      </c>
      <c r="N863">
        <f>IF($K863="","",COUNTIF($C$3:$C$1002,$K863))</f>
        <v/>
      </c>
      <c r="P863">
        <f>IF($A863="","",$A863*100000+ROW())</f>
        <v/>
      </c>
    </row>
    <row r="864" ht="18" customHeight="1">
      <c r="A864" s="60" t="n"/>
      <c r="B864" s="61">
        <f>IF(A864="","",TEXT(A864,"mmm yyyy"))</f>
        <v/>
      </c>
      <c r="C864" s="62" t="n"/>
      <c r="D864" s="62" t="n"/>
      <c r="E864" s="62" t="n"/>
      <c r="F864" s="62" t="n"/>
      <c r="G864" s="63" t="n"/>
      <c r="H864" s="62" t="n"/>
      <c r="K864">
        <f>IF($C864="","",IF(COUNTIF($C$3:$C864,$C864)=1,$C864,""))</f>
        <v/>
      </c>
      <c r="L864">
        <f>IF($K864="","",$M864+ROW()/10000000)</f>
        <v/>
      </c>
      <c r="M864">
        <f>IF($K864="","",SUMIF($C$3:$C$1002,$K864,$G$3:$G$1002))</f>
        <v/>
      </c>
      <c r="N864">
        <f>IF($K864="","",COUNTIF($C$3:$C$1002,$K864))</f>
        <v/>
      </c>
      <c r="P864">
        <f>IF($A864="","",$A864*100000+ROW())</f>
        <v/>
      </c>
    </row>
    <row r="865" ht="18" customHeight="1">
      <c r="A865" s="60" t="n"/>
      <c r="B865" s="61">
        <f>IF(A865="","",TEXT(A865,"mmm yyyy"))</f>
        <v/>
      </c>
      <c r="C865" s="62" t="n"/>
      <c r="D865" s="62" t="n"/>
      <c r="E865" s="62" t="n"/>
      <c r="F865" s="62" t="n"/>
      <c r="G865" s="63" t="n"/>
      <c r="H865" s="62" t="n"/>
      <c r="K865">
        <f>IF($C865="","",IF(COUNTIF($C$3:$C865,$C865)=1,$C865,""))</f>
        <v/>
      </c>
      <c r="L865">
        <f>IF($K865="","",$M865+ROW()/10000000)</f>
        <v/>
      </c>
      <c r="M865">
        <f>IF($K865="","",SUMIF($C$3:$C$1002,$K865,$G$3:$G$1002))</f>
        <v/>
      </c>
      <c r="N865">
        <f>IF($K865="","",COUNTIF($C$3:$C$1002,$K865))</f>
        <v/>
      </c>
      <c r="P865">
        <f>IF($A865="","",$A865*100000+ROW())</f>
        <v/>
      </c>
    </row>
    <row r="866" ht="18" customHeight="1">
      <c r="A866" s="60" t="n"/>
      <c r="B866" s="61">
        <f>IF(A866="","",TEXT(A866,"mmm yyyy"))</f>
        <v/>
      </c>
      <c r="C866" s="62" t="n"/>
      <c r="D866" s="62" t="n"/>
      <c r="E866" s="62" t="n"/>
      <c r="F866" s="62" t="n"/>
      <c r="G866" s="63" t="n"/>
      <c r="H866" s="62" t="n"/>
      <c r="K866">
        <f>IF($C866="","",IF(COUNTIF($C$3:$C866,$C866)=1,$C866,""))</f>
        <v/>
      </c>
      <c r="L866">
        <f>IF($K866="","",$M866+ROW()/10000000)</f>
        <v/>
      </c>
      <c r="M866">
        <f>IF($K866="","",SUMIF($C$3:$C$1002,$K866,$G$3:$G$1002))</f>
        <v/>
      </c>
      <c r="N866">
        <f>IF($K866="","",COUNTIF($C$3:$C$1002,$K866))</f>
        <v/>
      </c>
      <c r="P866">
        <f>IF($A866="","",$A866*100000+ROW())</f>
        <v/>
      </c>
    </row>
    <row r="867" ht="18" customHeight="1">
      <c r="A867" s="60" t="n"/>
      <c r="B867" s="61">
        <f>IF(A867="","",TEXT(A867,"mmm yyyy"))</f>
        <v/>
      </c>
      <c r="C867" s="62" t="n"/>
      <c r="D867" s="62" t="n"/>
      <c r="E867" s="62" t="n"/>
      <c r="F867" s="62" t="n"/>
      <c r="G867" s="63" t="n"/>
      <c r="H867" s="62" t="n"/>
      <c r="K867">
        <f>IF($C867="","",IF(COUNTIF($C$3:$C867,$C867)=1,$C867,""))</f>
        <v/>
      </c>
      <c r="L867">
        <f>IF($K867="","",$M867+ROW()/10000000)</f>
        <v/>
      </c>
      <c r="M867">
        <f>IF($K867="","",SUMIF($C$3:$C$1002,$K867,$G$3:$G$1002))</f>
        <v/>
      </c>
      <c r="N867">
        <f>IF($K867="","",COUNTIF($C$3:$C$1002,$K867))</f>
        <v/>
      </c>
      <c r="P867">
        <f>IF($A867="","",$A867*100000+ROW())</f>
        <v/>
      </c>
    </row>
    <row r="868" ht="18" customHeight="1">
      <c r="A868" s="60" t="n"/>
      <c r="B868" s="61">
        <f>IF(A868="","",TEXT(A868,"mmm yyyy"))</f>
        <v/>
      </c>
      <c r="C868" s="62" t="n"/>
      <c r="D868" s="62" t="n"/>
      <c r="E868" s="62" t="n"/>
      <c r="F868" s="62" t="n"/>
      <c r="G868" s="63" t="n"/>
      <c r="H868" s="62" t="n"/>
      <c r="K868">
        <f>IF($C868="","",IF(COUNTIF($C$3:$C868,$C868)=1,$C868,""))</f>
        <v/>
      </c>
      <c r="L868">
        <f>IF($K868="","",$M868+ROW()/10000000)</f>
        <v/>
      </c>
      <c r="M868">
        <f>IF($K868="","",SUMIF($C$3:$C$1002,$K868,$G$3:$G$1002))</f>
        <v/>
      </c>
      <c r="N868">
        <f>IF($K868="","",COUNTIF($C$3:$C$1002,$K868))</f>
        <v/>
      </c>
      <c r="P868">
        <f>IF($A868="","",$A868*100000+ROW())</f>
        <v/>
      </c>
    </row>
    <row r="869" ht="18" customHeight="1">
      <c r="A869" s="60" t="n"/>
      <c r="B869" s="61">
        <f>IF(A869="","",TEXT(A869,"mmm yyyy"))</f>
        <v/>
      </c>
      <c r="C869" s="62" t="n"/>
      <c r="D869" s="62" t="n"/>
      <c r="E869" s="62" t="n"/>
      <c r="F869" s="62" t="n"/>
      <c r="G869" s="63" t="n"/>
      <c r="H869" s="62" t="n"/>
      <c r="K869">
        <f>IF($C869="","",IF(COUNTIF($C$3:$C869,$C869)=1,$C869,""))</f>
        <v/>
      </c>
      <c r="L869">
        <f>IF($K869="","",$M869+ROW()/10000000)</f>
        <v/>
      </c>
      <c r="M869">
        <f>IF($K869="","",SUMIF($C$3:$C$1002,$K869,$G$3:$G$1002))</f>
        <v/>
      </c>
      <c r="N869">
        <f>IF($K869="","",COUNTIF($C$3:$C$1002,$K869))</f>
        <v/>
      </c>
      <c r="P869">
        <f>IF($A869="","",$A869*100000+ROW())</f>
        <v/>
      </c>
    </row>
    <row r="870" ht="18" customHeight="1">
      <c r="A870" s="60" t="n"/>
      <c r="B870" s="61">
        <f>IF(A870="","",TEXT(A870,"mmm yyyy"))</f>
        <v/>
      </c>
      <c r="C870" s="62" t="n"/>
      <c r="D870" s="62" t="n"/>
      <c r="E870" s="62" t="n"/>
      <c r="F870" s="62" t="n"/>
      <c r="G870" s="63" t="n"/>
      <c r="H870" s="62" t="n"/>
      <c r="K870">
        <f>IF($C870="","",IF(COUNTIF($C$3:$C870,$C870)=1,$C870,""))</f>
        <v/>
      </c>
      <c r="L870">
        <f>IF($K870="","",$M870+ROW()/10000000)</f>
        <v/>
      </c>
      <c r="M870">
        <f>IF($K870="","",SUMIF($C$3:$C$1002,$K870,$G$3:$G$1002))</f>
        <v/>
      </c>
      <c r="N870">
        <f>IF($K870="","",COUNTIF($C$3:$C$1002,$K870))</f>
        <v/>
      </c>
      <c r="P870">
        <f>IF($A870="","",$A870*100000+ROW())</f>
        <v/>
      </c>
    </row>
    <row r="871" ht="18" customHeight="1">
      <c r="A871" s="60" t="n"/>
      <c r="B871" s="61">
        <f>IF(A871="","",TEXT(A871,"mmm yyyy"))</f>
        <v/>
      </c>
      <c r="C871" s="62" t="n"/>
      <c r="D871" s="62" t="n"/>
      <c r="E871" s="62" t="n"/>
      <c r="F871" s="62" t="n"/>
      <c r="G871" s="63" t="n"/>
      <c r="H871" s="62" t="n"/>
      <c r="K871">
        <f>IF($C871="","",IF(COUNTIF($C$3:$C871,$C871)=1,$C871,""))</f>
        <v/>
      </c>
      <c r="L871">
        <f>IF($K871="","",$M871+ROW()/10000000)</f>
        <v/>
      </c>
      <c r="M871">
        <f>IF($K871="","",SUMIF($C$3:$C$1002,$K871,$G$3:$G$1002))</f>
        <v/>
      </c>
      <c r="N871">
        <f>IF($K871="","",COUNTIF($C$3:$C$1002,$K871))</f>
        <v/>
      </c>
      <c r="P871">
        <f>IF($A871="","",$A871*100000+ROW())</f>
        <v/>
      </c>
    </row>
    <row r="872" ht="18" customHeight="1">
      <c r="A872" s="60" t="n"/>
      <c r="B872" s="61">
        <f>IF(A872="","",TEXT(A872,"mmm yyyy"))</f>
        <v/>
      </c>
      <c r="C872" s="62" t="n"/>
      <c r="D872" s="62" t="n"/>
      <c r="E872" s="62" t="n"/>
      <c r="F872" s="62" t="n"/>
      <c r="G872" s="63" t="n"/>
      <c r="H872" s="62" t="n"/>
      <c r="K872">
        <f>IF($C872="","",IF(COUNTIF($C$3:$C872,$C872)=1,$C872,""))</f>
        <v/>
      </c>
      <c r="L872">
        <f>IF($K872="","",$M872+ROW()/10000000)</f>
        <v/>
      </c>
      <c r="M872">
        <f>IF($K872="","",SUMIF($C$3:$C$1002,$K872,$G$3:$G$1002))</f>
        <v/>
      </c>
      <c r="N872">
        <f>IF($K872="","",COUNTIF($C$3:$C$1002,$K872))</f>
        <v/>
      </c>
      <c r="P872">
        <f>IF($A872="","",$A872*100000+ROW())</f>
        <v/>
      </c>
    </row>
    <row r="873" ht="18" customHeight="1">
      <c r="A873" s="60" t="n"/>
      <c r="B873" s="61">
        <f>IF(A873="","",TEXT(A873,"mmm yyyy"))</f>
        <v/>
      </c>
      <c r="C873" s="62" t="n"/>
      <c r="D873" s="62" t="n"/>
      <c r="E873" s="62" t="n"/>
      <c r="F873" s="62" t="n"/>
      <c r="G873" s="63" t="n"/>
      <c r="H873" s="62" t="n"/>
      <c r="K873">
        <f>IF($C873="","",IF(COUNTIF($C$3:$C873,$C873)=1,$C873,""))</f>
        <v/>
      </c>
      <c r="L873">
        <f>IF($K873="","",$M873+ROW()/10000000)</f>
        <v/>
      </c>
      <c r="M873">
        <f>IF($K873="","",SUMIF($C$3:$C$1002,$K873,$G$3:$G$1002))</f>
        <v/>
      </c>
      <c r="N873">
        <f>IF($K873="","",COUNTIF($C$3:$C$1002,$K873))</f>
        <v/>
      </c>
      <c r="P873">
        <f>IF($A873="","",$A873*100000+ROW())</f>
        <v/>
      </c>
    </row>
    <row r="874" ht="18" customHeight="1">
      <c r="A874" s="60" t="n"/>
      <c r="B874" s="61">
        <f>IF(A874="","",TEXT(A874,"mmm yyyy"))</f>
        <v/>
      </c>
      <c r="C874" s="62" t="n"/>
      <c r="D874" s="62" t="n"/>
      <c r="E874" s="62" t="n"/>
      <c r="F874" s="62" t="n"/>
      <c r="G874" s="63" t="n"/>
      <c r="H874" s="62" t="n"/>
      <c r="K874">
        <f>IF($C874="","",IF(COUNTIF($C$3:$C874,$C874)=1,$C874,""))</f>
        <v/>
      </c>
      <c r="L874">
        <f>IF($K874="","",$M874+ROW()/10000000)</f>
        <v/>
      </c>
      <c r="M874">
        <f>IF($K874="","",SUMIF($C$3:$C$1002,$K874,$G$3:$G$1002))</f>
        <v/>
      </c>
      <c r="N874">
        <f>IF($K874="","",COUNTIF($C$3:$C$1002,$K874))</f>
        <v/>
      </c>
      <c r="P874">
        <f>IF($A874="","",$A874*100000+ROW())</f>
        <v/>
      </c>
    </row>
    <row r="875" ht="18" customHeight="1">
      <c r="A875" s="60" t="n"/>
      <c r="B875" s="61">
        <f>IF(A875="","",TEXT(A875,"mmm yyyy"))</f>
        <v/>
      </c>
      <c r="C875" s="62" t="n"/>
      <c r="D875" s="62" t="n"/>
      <c r="E875" s="62" t="n"/>
      <c r="F875" s="62" t="n"/>
      <c r="G875" s="63" t="n"/>
      <c r="H875" s="62" t="n"/>
      <c r="K875">
        <f>IF($C875="","",IF(COUNTIF($C$3:$C875,$C875)=1,$C875,""))</f>
        <v/>
      </c>
      <c r="L875">
        <f>IF($K875="","",$M875+ROW()/10000000)</f>
        <v/>
      </c>
      <c r="M875">
        <f>IF($K875="","",SUMIF($C$3:$C$1002,$K875,$G$3:$G$1002))</f>
        <v/>
      </c>
      <c r="N875">
        <f>IF($K875="","",COUNTIF($C$3:$C$1002,$K875))</f>
        <v/>
      </c>
      <c r="P875">
        <f>IF($A875="","",$A875*100000+ROW())</f>
        <v/>
      </c>
    </row>
    <row r="876" ht="18" customHeight="1">
      <c r="A876" s="60" t="n"/>
      <c r="B876" s="61">
        <f>IF(A876="","",TEXT(A876,"mmm yyyy"))</f>
        <v/>
      </c>
      <c r="C876" s="62" t="n"/>
      <c r="D876" s="62" t="n"/>
      <c r="E876" s="62" t="n"/>
      <c r="F876" s="62" t="n"/>
      <c r="G876" s="63" t="n"/>
      <c r="H876" s="62" t="n"/>
      <c r="K876">
        <f>IF($C876="","",IF(COUNTIF($C$3:$C876,$C876)=1,$C876,""))</f>
        <v/>
      </c>
      <c r="L876">
        <f>IF($K876="","",$M876+ROW()/10000000)</f>
        <v/>
      </c>
      <c r="M876">
        <f>IF($K876="","",SUMIF($C$3:$C$1002,$K876,$G$3:$G$1002))</f>
        <v/>
      </c>
      <c r="N876">
        <f>IF($K876="","",COUNTIF($C$3:$C$1002,$K876))</f>
        <v/>
      </c>
      <c r="P876">
        <f>IF($A876="","",$A876*100000+ROW())</f>
        <v/>
      </c>
    </row>
    <row r="877" ht="18" customHeight="1">
      <c r="A877" s="60" t="n"/>
      <c r="B877" s="61">
        <f>IF(A877="","",TEXT(A877,"mmm yyyy"))</f>
        <v/>
      </c>
      <c r="C877" s="62" t="n"/>
      <c r="D877" s="62" t="n"/>
      <c r="E877" s="62" t="n"/>
      <c r="F877" s="62" t="n"/>
      <c r="G877" s="63" t="n"/>
      <c r="H877" s="62" t="n"/>
      <c r="K877">
        <f>IF($C877="","",IF(COUNTIF($C$3:$C877,$C877)=1,$C877,""))</f>
        <v/>
      </c>
      <c r="L877">
        <f>IF($K877="","",$M877+ROW()/10000000)</f>
        <v/>
      </c>
      <c r="M877">
        <f>IF($K877="","",SUMIF($C$3:$C$1002,$K877,$G$3:$G$1002))</f>
        <v/>
      </c>
      <c r="N877">
        <f>IF($K877="","",COUNTIF($C$3:$C$1002,$K877))</f>
        <v/>
      </c>
      <c r="P877">
        <f>IF($A877="","",$A877*100000+ROW())</f>
        <v/>
      </c>
    </row>
    <row r="878" ht="18" customHeight="1">
      <c r="A878" s="60" t="n"/>
      <c r="B878" s="61">
        <f>IF(A878="","",TEXT(A878,"mmm yyyy"))</f>
        <v/>
      </c>
      <c r="C878" s="62" t="n"/>
      <c r="D878" s="62" t="n"/>
      <c r="E878" s="62" t="n"/>
      <c r="F878" s="62" t="n"/>
      <c r="G878" s="63" t="n"/>
      <c r="H878" s="62" t="n"/>
      <c r="K878">
        <f>IF($C878="","",IF(COUNTIF($C$3:$C878,$C878)=1,$C878,""))</f>
        <v/>
      </c>
      <c r="L878">
        <f>IF($K878="","",$M878+ROW()/10000000)</f>
        <v/>
      </c>
      <c r="M878">
        <f>IF($K878="","",SUMIF($C$3:$C$1002,$K878,$G$3:$G$1002))</f>
        <v/>
      </c>
      <c r="N878">
        <f>IF($K878="","",COUNTIF($C$3:$C$1002,$K878))</f>
        <v/>
      </c>
      <c r="P878">
        <f>IF($A878="","",$A878*100000+ROW())</f>
        <v/>
      </c>
    </row>
    <row r="879" ht="18" customHeight="1">
      <c r="A879" s="60" t="n"/>
      <c r="B879" s="61">
        <f>IF(A879="","",TEXT(A879,"mmm yyyy"))</f>
        <v/>
      </c>
      <c r="C879" s="62" t="n"/>
      <c r="D879" s="62" t="n"/>
      <c r="E879" s="62" t="n"/>
      <c r="F879" s="62" t="n"/>
      <c r="G879" s="63" t="n"/>
      <c r="H879" s="62" t="n"/>
      <c r="K879">
        <f>IF($C879="","",IF(COUNTIF($C$3:$C879,$C879)=1,$C879,""))</f>
        <v/>
      </c>
      <c r="L879">
        <f>IF($K879="","",$M879+ROW()/10000000)</f>
        <v/>
      </c>
      <c r="M879">
        <f>IF($K879="","",SUMIF($C$3:$C$1002,$K879,$G$3:$G$1002))</f>
        <v/>
      </c>
      <c r="N879">
        <f>IF($K879="","",COUNTIF($C$3:$C$1002,$K879))</f>
        <v/>
      </c>
      <c r="P879">
        <f>IF($A879="","",$A879*100000+ROW())</f>
        <v/>
      </c>
    </row>
    <row r="880" ht="18" customHeight="1">
      <c r="A880" s="60" t="n"/>
      <c r="B880" s="61">
        <f>IF(A880="","",TEXT(A880,"mmm yyyy"))</f>
        <v/>
      </c>
      <c r="C880" s="62" t="n"/>
      <c r="D880" s="62" t="n"/>
      <c r="E880" s="62" t="n"/>
      <c r="F880" s="62" t="n"/>
      <c r="G880" s="63" t="n"/>
      <c r="H880" s="62" t="n"/>
      <c r="K880">
        <f>IF($C880="","",IF(COUNTIF($C$3:$C880,$C880)=1,$C880,""))</f>
        <v/>
      </c>
      <c r="L880">
        <f>IF($K880="","",$M880+ROW()/10000000)</f>
        <v/>
      </c>
      <c r="M880">
        <f>IF($K880="","",SUMIF($C$3:$C$1002,$K880,$G$3:$G$1002))</f>
        <v/>
      </c>
      <c r="N880">
        <f>IF($K880="","",COUNTIF($C$3:$C$1002,$K880))</f>
        <v/>
      </c>
      <c r="P880">
        <f>IF($A880="","",$A880*100000+ROW())</f>
        <v/>
      </c>
    </row>
    <row r="881" ht="18" customHeight="1">
      <c r="A881" s="60" t="n"/>
      <c r="B881" s="61">
        <f>IF(A881="","",TEXT(A881,"mmm yyyy"))</f>
        <v/>
      </c>
      <c r="C881" s="62" t="n"/>
      <c r="D881" s="62" t="n"/>
      <c r="E881" s="62" t="n"/>
      <c r="F881" s="62" t="n"/>
      <c r="G881" s="63" t="n"/>
      <c r="H881" s="62" t="n"/>
      <c r="K881">
        <f>IF($C881="","",IF(COUNTIF($C$3:$C881,$C881)=1,$C881,""))</f>
        <v/>
      </c>
      <c r="L881">
        <f>IF($K881="","",$M881+ROW()/10000000)</f>
        <v/>
      </c>
      <c r="M881">
        <f>IF($K881="","",SUMIF($C$3:$C$1002,$K881,$G$3:$G$1002))</f>
        <v/>
      </c>
      <c r="N881">
        <f>IF($K881="","",COUNTIF($C$3:$C$1002,$K881))</f>
        <v/>
      </c>
      <c r="P881">
        <f>IF($A881="","",$A881*100000+ROW())</f>
        <v/>
      </c>
    </row>
    <row r="882" ht="18" customHeight="1">
      <c r="A882" s="60" t="n"/>
      <c r="B882" s="61">
        <f>IF(A882="","",TEXT(A882,"mmm yyyy"))</f>
        <v/>
      </c>
      <c r="C882" s="62" t="n"/>
      <c r="D882" s="62" t="n"/>
      <c r="E882" s="62" t="n"/>
      <c r="F882" s="62" t="n"/>
      <c r="G882" s="63" t="n"/>
      <c r="H882" s="62" t="n"/>
      <c r="K882">
        <f>IF($C882="","",IF(COUNTIF($C$3:$C882,$C882)=1,$C882,""))</f>
        <v/>
      </c>
      <c r="L882">
        <f>IF($K882="","",$M882+ROW()/10000000)</f>
        <v/>
      </c>
      <c r="M882">
        <f>IF($K882="","",SUMIF($C$3:$C$1002,$K882,$G$3:$G$1002))</f>
        <v/>
      </c>
      <c r="N882">
        <f>IF($K882="","",COUNTIF($C$3:$C$1002,$K882))</f>
        <v/>
      </c>
      <c r="P882">
        <f>IF($A882="","",$A882*100000+ROW())</f>
        <v/>
      </c>
    </row>
    <row r="883" ht="18" customHeight="1">
      <c r="A883" s="60" t="n"/>
      <c r="B883" s="61">
        <f>IF(A883="","",TEXT(A883,"mmm yyyy"))</f>
        <v/>
      </c>
      <c r="C883" s="62" t="n"/>
      <c r="D883" s="62" t="n"/>
      <c r="E883" s="62" t="n"/>
      <c r="F883" s="62" t="n"/>
      <c r="G883" s="63" t="n"/>
      <c r="H883" s="62" t="n"/>
      <c r="K883">
        <f>IF($C883="","",IF(COUNTIF($C$3:$C883,$C883)=1,$C883,""))</f>
        <v/>
      </c>
      <c r="L883">
        <f>IF($K883="","",$M883+ROW()/10000000)</f>
        <v/>
      </c>
      <c r="M883">
        <f>IF($K883="","",SUMIF($C$3:$C$1002,$K883,$G$3:$G$1002))</f>
        <v/>
      </c>
      <c r="N883">
        <f>IF($K883="","",COUNTIF($C$3:$C$1002,$K883))</f>
        <v/>
      </c>
      <c r="P883">
        <f>IF($A883="","",$A883*100000+ROW())</f>
        <v/>
      </c>
    </row>
    <row r="884" ht="18" customHeight="1">
      <c r="A884" s="60" t="n"/>
      <c r="B884" s="61">
        <f>IF(A884="","",TEXT(A884,"mmm yyyy"))</f>
        <v/>
      </c>
      <c r="C884" s="62" t="n"/>
      <c r="D884" s="62" t="n"/>
      <c r="E884" s="62" t="n"/>
      <c r="F884" s="62" t="n"/>
      <c r="G884" s="63" t="n"/>
      <c r="H884" s="62" t="n"/>
      <c r="K884">
        <f>IF($C884="","",IF(COUNTIF($C$3:$C884,$C884)=1,$C884,""))</f>
        <v/>
      </c>
      <c r="L884">
        <f>IF($K884="","",$M884+ROW()/10000000)</f>
        <v/>
      </c>
      <c r="M884">
        <f>IF($K884="","",SUMIF($C$3:$C$1002,$K884,$G$3:$G$1002))</f>
        <v/>
      </c>
      <c r="N884">
        <f>IF($K884="","",COUNTIF($C$3:$C$1002,$K884))</f>
        <v/>
      </c>
      <c r="P884">
        <f>IF($A884="","",$A884*100000+ROW())</f>
        <v/>
      </c>
    </row>
    <row r="885" ht="18" customHeight="1">
      <c r="A885" s="60" t="n"/>
      <c r="B885" s="61">
        <f>IF(A885="","",TEXT(A885,"mmm yyyy"))</f>
        <v/>
      </c>
      <c r="C885" s="62" t="n"/>
      <c r="D885" s="62" t="n"/>
      <c r="E885" s="62" t="n"/>
      <c r="F885" s="62" t="n"/>
      <c r="G885" s="63" t="n"/>
      <c r="H885" s="62" t="n"/>
      <c r="K885">
        <f>IF($C885="","",IF(COUNTIF($C$3:$C885,$C885)=1,$C885,""))</f>
        <v/>
      </c>
      <c r="L885">
        <f>IF($K885="","",$M885+ROW()/10000000)</f>
        <v/>
      </c>
      <c r="M885">
        <f>IF($K885="","",SUMIF($C$3:$C$1002,$K885,$G$3:$G$1002))</f>
        <v/>
      </c>
      <c r="N885">
        <f>IF($K885="","",COUNTIF($C$3:$C$1002,$K885))</f>
        <v/>
      </c>
      <c r="P885">
        <f>IF($A885="","",$A885*100000+ROW())</f>
        <v/>
      </c>
    </row>
    <row r="886" ht="18" customHeight="1">
      <c r="A886" s="60" t="n"/>
      <c r="B886" s="61">
        <f>IF(A886="","",TEXT(A886,"mmm yyyy"))</f>
        <v/>
      </c>
      <c r="C886" s="62" t="n"/>
      <c r="D886" s="62" t="n"/>
      <c r="E886" s="62" t="n"/>
      <c r="F886" s="62" t="n"/>
      <c r="G886" s="63" t="n"/>
      <c r="H886" s="62" t="n"/>
      <c r="K886">
        <f>IF($C886="","",IF(COUNTIF($C$3:$C886,$C886)=1,$C886,""))</f>
        <v/>
      </c>
      <c r="L886">
        <f>IF($K886="","",$M886+ROW()/10000000)</f>
        <v/>
      </c>
      <c r="M886">
        <f>IF($K886="","",SUMIF($C$3:$C$1002,$K886,$G$3:$G$1002))</f>
        <v/>
      </c>
      <c r="N886">
        <f>IF($K886="","",COUNTIF($C$3:$C$1002,$K886))</f>
        <v/>
      </c>
      <c r="P886">
        <f>IF($A886="","",$A886*100000+ROW())</f>
        <v/>
      </c>
    </row>
    <row r="887" ht="18" customHeight="1">
      <c r="A887" s="60" t="n"/>
      <c r="B887" s="61">
        <f>IF(A887="","",TEXT(A887,"mmm yyyy"))</f>
        <v/>
      </c>
      <c r="C887" s="62" t="n"/>
      <c r="D887" s="62" t="n"/>
      <c r="E887" s="62" t="n"/>
      <c r="F887" s="62" t="n"/>
      <c r="G887" s="63" t="n"/>
      <c r="H887" s="62" t="n"/>
      <c r="K887">
        <f>IF($C887="","",IF(COUNTIF($C$3:$C887,$C887)=1,$C887,""))</f>
        <v/>
      </c>
      <c r="L887">
        <f>IF($K887="","",$M887+ROW()/10000000)</f>
        <v/>
      </c>
      <c r="M887">
        <f>IF($K887="","",SUMIF($C$3:$C$1002,$K887,$G$3:$G$1002))</f>
        <v/>
      </c>
      <c r="N887">
        <f>IF($K887="","",COUNTIF($C$3:$C$1002,$K887))</f>
        <v/>
      </c>
      <c r="P887">
        <f>IF($A887="","",$A887*100000+ROW())</f>
        <v/>
      </c>
    </row>
    <row r="888" ht="18" customHeight="1">
      <c r="A888" s="60" t="n"/>
      <c r="B888" s="61">
        <f>IF(A888="","",TEXT(A888,"mmm yyyy"))</f>
        <v/>
      </c>
      <c r="C888" s="62" t="n"/>
      <c r="D888" s="62" t="n"/>
      <c r="E888" s="62" t="n"/>
      <c r="F888" s="62" t="n"/>
      <c r="G888" s="63" t="n"/>
      <c r="H888" s="62" t="n"/>
      <c r="K888">
        <f>IF($C888="","",IF(COUNTIF($C$3:$C888,$C888)=1,$C888,""))</f>
        <v/>
      </c>
      <c r="L888">
        <f>IF($K888="","",$M888+ROW()/10000000)</f>
        <v/>
      </c>
      <c r="M888">
        <f>IF($K888="","",SUMIF($C$3:$C$1002,$K888,$G$3:$G$1002))</f>
        <v/>
      </c>
      <c r="N888">
        <f>IF($K888="","",COUNTIF($C$3:$C$1002,$K888))</f>
        <v/>
      </c>
      <c r="P888">
        <f>IF($A888="","",$A888*100000+ROW())</f>
        <v/>
      </c>
    </row>
    <row r="889" ht="18" customHeight="1">
      <c r="A889" s="60" t="n"/>
      <c r="B889" s="61">
        <f>IF(A889="","",TEXT(A889,"mmm yyyy"))</f>
        <v/>
      </c>
      <c r="C889" s="62" t="n"/>
      <c r="D889" s="62" t="n"/>
      <c r="E889" s="62" t="n"/>
      <c r="F889" s="62" t="n"/>
      <c r="G889" s="63" t="n"/>
      <c r="H889" s="62" t="n"/>
      <c r="K889">
        <f>IF($C889="","",IF(COUNTIF($C$3:$C889,$C889)=1,$C889,""))</f>
        <v/>
      </c>
      <c r="L889">
        <f>IF($K889="","",$M889+ROW()/10000000)</f>
        <v/>
      </c>
      <c r="M889">
        <f>IF($K889="","",SUMIF($C$3:$C$1002,$K889,$G$3:$G$1002))</f>
        <v/>
      </c>
      <c r="N889">
        <f>IF($K889="","",COUNTIF($C$3:$C$1002,$K889))</f>
        <v/>
      </c>
      <c r="P889">
        <f>IF($A889="","",$A889*100000+ROW())</f>
        <v/>
      </c>
    </row>
    <row r="890" ht="18" customHeight="1">
      <c r="A890" s="60" t="n"/>
      <c r="B890" s="61">
        <f>IF(A890="","",TEXT(A890,"mmm yyyy"))</f>
        <v/>
      </c>
      <c r="C890" s="62" t="n"/>
      <c r="D890" s="62" t="n"/>
      <c r="E890" s="62" t="n"/>
      <c r="F890" s="62" t="n"/>
      <c r="G890" s="63" t="n"/>
      <c r="H890" s="62" t="n"/>
      <c r="K890">
        <f>IF($C890="","",IF(COUNTIF($C$3:$C890,$C890)=1,$C890,""))</f>
        <v/>
      </c>
      <c r="L890">
        <f>IF($K890="","",$M890+ROW()/10000000)</f>
        <v/>
      </c>
      <c r="M890">
        <f>IF($K890="","",SUMIF($C$3:$C$1002,$K890,$G$3:$G$1002))</f>
        <v/>
      </c>
      <c r="N890">
        <f>IF($K890="","",COUNTIF($C$3:$C$1002,$K890))</f>
        <v/>
      </c>
      <c r="P890">
        <f>IF($A890="","",$A890*100000+ROW())</f>
        <v/>
      </c>
    </row>
    <row r="891" ht="18" customHeight="1">
      <c r="A891" s="60" t="n"/>
      <c r="B891" s="61">
        <f>IF(A891="","",TEXT(A891,"mmm yyyy"))</f>
        <v/>
      </c>
      <c r="C891" s="62" t="n"/>
      <c r="D891" s="62" t="n"/>
      <c r="E891" s="62" t="n"/>
      <c r="F891" s="62" t="n"/>
      <c r="G891" s="63" t="n"/>
      <c r="H891" s="62" t="n"/>
      <c r="K891">
        <f>IF($C891="","",IF(COUNTIF($C$3:$C891,$C891)=1,$C891,""))</f>
        <v/>
      </c>
      <c r="L891">
        <f>IF($K891="","",$M891+ROW()/10000000)</f>
        <v/>
      </c>
      <c r="M891">
        <f>IF($K891="","",SUMIF($C$3:$C$1002,$K891,$G$3:$G$1002))</f>
        <v/>
      </c>
      <c r="N891">
        <f>IF($K891="","",COUNTIF($C$3:$C$1002,$K891))</f>
        <v/>
      </c>
      <c r="P891">
        <f>IF($A891="","",$A891*100000+ROW())</f>
        <v/>
      </c>
    </row>
    <row r="892" ht="18" customHeight="1">
      <c r="A892" s="60" t="n"/>
      <c r="B892" s="61">
        <f>IF(A892="","",TEXT(A892,"mmm yyyy"))</f>
        <v/>
      </c>
      <c r="C892" s="62" t="n"/>
      <c r="D892" s="62" t="n"/>
      <c r="E892" s="62" t="n"/>
      <c r="F892" s="62" t="n"/>
      <c r="G892" s="63" t="n"/>
      <c r="H892" s="62" t="n"/>
      <c r="K892">
        <f>IF($C892="","",IF(COUNTIF($C$3:$C892,$C892)=1,$C892,""))</f>
        <v/>
      </c>
      <c r="L892">
        <f>IF($K892="","",$M892+ROW()/10000000)</f>
        <v/>
      </c>
      <c r="M892">
        <f>IF($K892="","",SUMIF($C$3:$C$1002,$K892,$G$3:$G$1002))</f>
        <v/>
      </c>
      <c r="N892">
        <f>IF($K892="","",COUNTIF($C$3:$C$1002,$K892))</f>
        <v/>
      </c>
      <c r="P892">
        <f>IF($A892="","",$A892*100000+ROW())</f>
        <v/>
      </c>
    </row>
    <row r="893" ht="18" customHeight="1">
      <c r="A893" s="60" t="n"/>
      <c r="B893" s="61">
        <f>IF(A893="","",TEXT(A893,"mmm yyyy"))</f>
        <v/>
      </c>
      <c r="C893" s="62" t="n"/>
      <c r="D893" s="62" t="n"/>
      <c r="E893" s="62" t="n"/>
      <c r="F893" s="62" t="n"/>
      <c r="G893" s="63" t="n"/>
      <c r="H893" s="62" t="n"/>
      <c r="K893">
        <f>IF($C893="","",IF(COUNTIF($C$3:$C893,$C893)=1,$C893,""))</f>
        <v/>
      </c>
      <c r="L893">
        <f>IF($K893="","",$M893+ROW()/10000000)</f>
        <v/>
      </c>
      <c r="M893">
        <f>IF($K893="","",SUMIF($C$3:$C$1002,$K893,$G$3:$G$1002))</f>
        <v/>
      </c>
      <c r="N893">
        <f>IF($K893="","",COUNTIF($C$3:$C$1002,$K893))</f>
        <v/>
      </c>
      <c r="P893">
        <f>IF($A893="","",$A893*100000+ROW())</f>
        <v/>
      </c>
    </row>
    <row r="894" ht="18" customHeight="1">
      <c r="A894" s="60" t="n"/>
      <c r="B894" s="61">
        <f>IF(A894="","",TEXT(A894,"mmm yyyy"))</f>
        <v/>
      </c>
      <c r="C894" s="62" t="n"/>
      <c r="D894" s="62" t="n"/>
      <c r="E894" s="62" t="n"/>
      <c r="F894" s="62" t="n"/>
      <c r="G894" s="63" t="n"/>
      <c r="H894" s="62" t="n"/>
      <c r="K894">
        <f>IF($C894="","",IF(COUNTIF($C$3:$C894,$C894)=1,$C894,""))</f>
        <v/>
      </c>
      <c r="L894">
        <f>IF($K894="","",$M894+ROW()/10000000)</f>
        <v/>
      </c>
      <c r="M894">
        <f>IF($K894="","",SUMIF($C$3:$C$1002,$K894,$G$3:$G$1002))</f>
        <v/>
      </c>
      <c r="N894">
        <f>IF($K894="","",COUNTIF($C$3:$C$1002,$K894))</f>
        <v/>
      </c>
      <c r="P894">
        <f>IF($A894="","",$A894*100000+ROW())</f>
        <v/>
      </c>
    </row>
    <row r="895" ht="18" customHeight="1">
      <c r="A895" s="60" t="n"/>
      <c r="B895" s="61">
        <f>IF(A895="","",TEXT(A895,"mmm yyyy"))</f>
        <v/>
      </c>
      <c r="C895" s="62" t="n"/>
      <c r="D895" s="62" t="n"/>
      <c r="E895" s="62" t="n"/>
      <c r="F895" s="62" t="n"/>
      <c r="G895" s="63" t="n"/>
      <c r="H895" s="62" t="n"/>
      <c r="K895">
        <f>IF($C895="","",IF(COUNTIF($C$3:$C895,$C895)=1,$C895,""))</f>
        <v/>
      </c>
      <c r="L895">
        <f>IF($K895="","",$M895+ROW()/10000000)</f>
        <v/>
      </c>
      <c r="M895">
        <f>IF($K895="","",SUMIF($C$3:$C$1002,$K895,$G$3:$G$1002))</f>
        <v/>
      </c>
      <c r="N895">
        <f>IF($K895="","",COUNTIF($C$3:$C$1002,$K895))</f>
        <v/>
      </c>
      <c r="P895">
        <f>IF($A895="","",$A895*100000+ROW())</f>
        <v/>
      </c>
    </row>
    <row r="896" ht="18" customHeight="1">
      <c r="A896" s="60" t="n"/>
      <c r="B896" s="61">
        <f>IF(A896="","",TEXT(A896,"mmm yyyy"))</f>
        <v/>
      </c>
      <c r="C896" s="62" t="n"/>
      <c r="D896" s="62" t="n"/>
      <c r="E896" s="62" t="n"/>
      <c r="F896" s="62" t="n"/>
      <c r="G896" s="63" t="n"/>
      <c r="H896" s="62" t="n"/>
      <c r="K896">
        <f>IF($C896="","",IF(COUNTIF($C$3:$C896,$C896)=1,$C896,""))</f>
        <v/>
      </c>
      <c r="L896">
        <f>IF($K896="","",$M896+ROW()/10000000)</f>
        <v/>
      </c>
      <c r="M896">
        <f>IF($K896="","",SUMIF($C$3:$C$1002,$K896,$G$3:$G$1002))</f>
        <v/>
      </c>
      <c r="N896">
        <f>IF($K896="","",COUNTIF($C$3:$C$1002,$K896))</f>
        <v/>
      </c>
      <c r="P896">
        <f>IF($A896="","",$A896*100000+ROW())</f>
        <v/>
      </c>
    </row>
    <row r="897" ht="18" customHeight="1">
      <c r="A897" s="60" t="n"/>
      <c r="B897" s="61">
        <f>IF(A897="","",TEXT(A897,"mmm yyyy"))</f>
        <v/>
      </c>
      <c r="C897" s="62" t="n"/>
      <c r="D897" s="62" t="n"/>
      <c r="E897" s="62" t="n"/>
      <c r="F897" s="62" t="n"/>
      <c r="G897" s="63" t="n"/>
      <c r="H897" s="62" t="n"/>
      <c r="K897">
        <f>IF($C897="","",IF(COUNTIF($C$3:$C897,$C897)=1,$C897,""))</f>
        <v/>
      </c>
      <c r="L897">
        <f>IF($K897="","",$M897+ROW()/10000000)</f>
        <v/>
      </c>
      <c r="M897">
        <f>IF($K897="","",SUMIF($C$3:$C$1002,$K897,$G$3:$G$1002))</f>
        <v/>
      </c>
      <c r="N897">
        <f>IF($K897="","",COUNTIF($C$3:$C$1002,$K897))</f>
        <v/>
      </c>
      <c r="P897">
        <f>IF($A897="","",$A897*100000+ROW())</f>
        <v/>
      </c>
    </row>
    <row r="898" ht="18" customHeight="1">
      <c r="A898" s="60" t="n"/>
      <c r="B898" s="61">
        <f>IF(A898="","",TEXT(A898,"mmm yyyy"))</f>
        <v/>
      </c>
      <c r="C898" s="62" t="n"/>
      <c r="D898" s="62" t="n"/>
      <c r="E898" s="62" t="n"/>
      <c r="F898" s="62" t="n"/>
      <c r="G898" s="63" t="n"/>
      <c r="H898" s="62" t="n"/>
      <c r="K898">
        <f>IF($C898="","",IF(COUNTIF($C$3:$C898,$C898)=1,$C898,""))</f>
        <v/>
      </c>
      <c r="L898">
        <f>IF($K898="","",$M898+ROW()/10000000)</f>
        <v/>
      </c>
      <c r="M898">
        <f>IF($K898="","",SUMIF($C$3:$C$1002,$K898,$G$3:$G$1002))</f>
        <v/>
      </c>
      <c r="N898">
        <f>IF($K898="","",COUNTIF($C$3:$C$1002,$K898))</f>
        <v/>
      </c>
      <c r="P898">
        <f>IF($A898="","",$A898*100000+ROW())</f>
        <v/>
      </c>
    </row>
    <row r="899" ht="18" customHeight="1">
      <c r="A899" s="60" t="n"/>
      <c r="B899" s="61">
        <f>IF(A899="","",TEXT(A899,"mmm yyyy"))</f>
        <v/>
      </c>
      <c r="C899" s="62" t="n"/>
      <c r="D899" s="62" t="n"/>
      <c r="E899" s="62" t="n"/>
      <c r="F899" s="62" t="n"/>
      <c r="G899" s="63" t="n"/>
      <c r="H899" s="62" t="n"/>
      <c r="K899">
        <f>IF($C899="","",IF(COUNTIF($C$3:$C899,$C899)=1,$C899,""))</f>
        <v/>
      </c>
      <c r="L899">
        <f>IF($K899="","",$M899+ROW()/10000000)</f>
        <v/>
      </c>
      <c r="M899">
        <f>IF($K899="","",SUMIF($C$3:$C$1002,$K899,$G$3:$G$1002))</f>
        <v/>
      </c>
      <c r="N899">
        <f>IF($K899="","",COUNTIF($C$3:$C$1002,$K899))</f>
        <v/>
      </c>
      <c r="P899">
        <f>IF($A899="","",$A899*100000+ROW())</f>
        <v/>
      </c>
    </row>
    <row r="900" ht="18" customHeight="1">
      <c r="A900" s="60" t="n"/>
      <c r="B900" s="61">
        <f>IF(A900="","",TEXT(A900,"mmm yyyy"))</f>
        <v/>
      </c>
      <c r="C900" s="62" t="n"/>
      <c r="D900" s="62" t="n"/>
      <c r="E900" s="62" t="n"/>
      <c r="F900" s="62" t="n"/>
      <c r="G900" s="63" t="n"/>
      <c r="H900" s="62" t="n"/>
      <c r="K900">
        <f>IF($C900="","",IF(COUNTIF($C$3:$C900,$C900)=1,$C900,""))</f>
        <v/>
      </c>
      <c r="L900">
        <f>IF($K900="","",$M900+ROW()/10000000)</f>
        <v/>
      </c>
      <c r="M900">
        <f>IF($K900="","",SUMIF($C$3:$C$1002,$K900,$G$3:$G$1002))</f>
        <v/>
      </c>
      <c r="N900">
        <f>IF($K900="","",COUNTIF($C$3:$C$1002,$K900))</f>
        <v/>
      </c>
      <c r="P900">
        <f>IF($A900="","",$A900*100000+ROW())</f>
        <v/>
      </c>
    </row>
    <row r="901" ht="18" customHeight="1">
      <c r="A901" s="60" t="n"/>
      <c r="B901" s="61">
        <f>IF(A901="","",TEXT(A901,"mmm yyyy"))</f>
        <v/>
      </c>
      <c r="C901" s="62" t="n"/>
      <c r="D901" s="62" t="n"/>
      <c r="E901" s="62" t="n"/>
      <c r="F901" s="62" t="n"/>
      <c r="G901" s="63" t="n"/>
      <c r="H901" s="62" t="n"/>
      <c r="K901">
        <f>IF($C901="","",IF(COUNTIF($C$3:$C901,$C901)=1,$C901,""))</f>
        <v/>
      </c>
      <c r="L901">
        <f>IF($K901="","",$M901+ROW()/10000000)</f>
        <v/>
      </c>
      <c r="M901">
        <f>IF($K901="","",SUMIF($C$3:$C$1002,$K901,$G$3:$G$1002))</f>
        <v/>
      </c>
      <c r="N901">
        <f>IF($K901="","",COUNTIF($C$3:$C$1002,$K901))</f>
        <v/>
      </c>
      <c r="P901">
        <f>IF($A901="","",$A901*100000+ROW())</f>
        <v/>
      </c>
    </row>
    <row r="902" ht="18" customHeight="1">
      <c r="A902" s="60" t="n"/>
      <c r="B902" s="61">
        <f>IF(A902="","",TEXT(A902,"mmm yyyy"))</f>
        <v/>
      </c>
      <c r="C902" s="62" t="n"/>
      <c r="D902" s="62" t="n"/>
      <c r="E902" s="62" t="n"/>
      <c r="F902" s="62" t="n"/>
      <c r="G902" s="63" t="n"/>
      <c r="H902" s="62" t="n"/>
      <c r="K902">
        <f>IF($C902="","",IF(COUNTIF($C$3:$C902,$C902)=1,$C902,""))</f>
        <v/>
      </c>
      <c r="L902">
        <f>IF($K902="","",$M902+ROW()/10000000)</f>
        <v/>
      </c>
      <c r="M902">
        <f>IF($K902="","",SUMIF($C$3:$C$1002,$K902,$G$3:$G$1002))</f>
        <v/>
      </c>
      <c r="N902">
        <f>IF($K902="","",COUNTIF($C$3:$C$1002,$K902))</f>
        <v/>
      </c>
      <c r="P902">
        <f>IF($A902="","",$A902*100000+ROW())</f>
        <v/>
      </c>
    </row>
    <row r="903" ht="18" customHeight="1">
      <c r="A903" s="60" t="n"/>
      <c r="B903" s="61">
        <f>IF(A903="","",TEXT(A903,"mmm yyyy"))</f>
        <v/>
      </c>
      <c r="C903" s="62" t="n"/>
      <c r="D903" s="62" t="n"/>
      <c r="E903" s="62" t="n"/>
      <c r="F903" s="62" t="n"/>
      <c r="G903" s="63" t="n"/>
      <c r="H903" s="62" t="n"/>
      <c r="K903">
        <f>IF($C903="","",IF(COUNTIF($C$3:$C903,$C903)=1,$C903,""))</f>
        <v/>
      </c>
      <c r="L903">
        <f>IF($K903="","",$M903+ROW()/10000000)</f>
        <v/>
      </c>
      <c r="M903">
        <f>IF($K903="","",SUMIF($C$3:$C$1002,$K903,$G$3:$G$1002))</f>
        <v/>
      </c>
      <c r="N903">
        <f>IF($K903="","",COUNTIF($C$3:$C$1002,$K903))</f>
        <v/>
      </c>
      <c r="P903">
        <f>IF($A903="","",$A903*100000+ROW())</f>
        <v/>
      </c>
    </row>
    <row r="904" ht="18" customHeight="1">
      <c r="A904" s="60" t="n"/>
      <c r="B904" s="61">
        <f>IF(A904="","",TEXT(A904,"mmm yyyy"))</f>
        <v/>
      </c>
      <c r="C904" s="62" t="n"/>
      <c r="D904" s="62" t="n"/>
      <c r="E904" s="62" t="n"/>
      <c r="F904" s="62" t="n"/>
      <c r="G904" s="63" t="n"/>
      <c r="H904" s="62" t="n"/>
      <c r="K904">
        <f>IF($C904="","",IF(COUNTIF($C$3:$C904,$C904)=1,$C904,""))</f>
        <v/>
      </c>
      <c r="L904">
        <f>IF($K904="","",$M904+ROW()/10000000)</f>
        <v/>
      </c>
      <c r="M904">
        <f>IF($K904="","",SUMIF($C$3:$C$1002,$K904,$G$3:$G$1002))</f>
        <v/>
      </c>
      <c r="N904">
        <f>IF($K904="","",COUNTIF($C$3:$C$1002,$K904))</f>
        <v/>
      </c>
      <c r="P904">
        <f>IF($A904="","",$A904*100000+ROW())</f>
        <v/>
      </c>
    </row>
    <row r="905" ht="18" customHeight="1">
      <c r="A905" s="60" t="n"/>
      <c r="B905" s="61">
        <f>IF(A905="","",TEXT(A905,"mmm yyyy"))</f>
        <v/>
      </c>
      <c r="C905" s="62" t="n"/>
      <c r="D905" s="62" t="n"/>
      <c r="E905" s="62" t="n"/>
      <c r="F905" s="62" t="n"/>
      <c r="G905" s="63" t="n"/>
      <c r="H905" s="62" t="n"/>
      <c r="K905">
        <f>IF($C905="","",IF(COUNTIF($C$3:$C905,$C905)=1,$C905,""))</f>
        <v/>
      </c>
      <c r="L905">
        <f>IF($K905="","",$M905+ROW()/10000000)</f>
        <v/>
      </c>
      <c r="M905">
        <f>IF($K905="","",SUMIF($C$3:$C$1002,$K905,$G$3:$G$1002))</f>
        <v/>
      </c>
      <c r="N905">
        <f>IF($K905="","",COUNTIF($C$3:$C$1002,$K905))</f>
        <v/>
      </c>
      <c r="P905">
        <f>IF($A905="","",$A905*100000+ROW())</f>
        <v/>
      </c>
    </row>
    <row r="906" ht="18" customHeight="1">
      <c r="A906" s="60" t="n"/>
      <c r="B906" s="61">
        <f>IF(A906="","",TEXT(A906,"mmm yyyy"))</f>
        <v/>
      </c>
      <c r="C906" s="62" t="n"/>
      <c r="D906" s="62" t="n"/>
      <c r="E906" s="62" t="n"/>
      <c r="F906" s="62" t="n"/>
      <c r="G906" s="63" t="n"/>
      <c r="H906" s="62" t="n"/>
      <c r="K906">
        <f>IF($C906="","",IF(COUNTIF($C$3:$C906,$C906)=1,$C906,""))</f>
        <v/>
      </c>
      <c r="L906">
        <f>IF($K906="","",$M906+ROW()/10000000)</f>
        <v/>
      </c>
      <c r="M906">
        <f>IF($K906="","",SUMIF($C$3:$C$1002,$K906,$G$3:$G$1002))</f>
        <v/>
      </c>
      <c r="N906">
        <f>IF($K906="","",COUNTIF($C$3:$C$1002,$K906))</f>
        <v/>
      </c>
      <c r="P906">
        <f>IF($A906="","",$A906*100000+ROW())</f>
        <v/>
      </c>
    </row>
    <row r="907" ht="18" customHeight="1">
      <c r="A907" s="60" t="n"/>
      <c r="B907" s="61">
        <f>IF(A907="","",TEXT(A907,"mmm yyyy"))</f>
        <v/>
      </c>
      <c r="C907" s="62" t="n"/>
      <c r="D907" s="62" t="n"/>
      <c r="E907" s="62" t="n"/>
      <c r="F907" s="62" t="n"/>
      <c r="G907" s="63" t="n"/>
      <c r="H907" s="62" t="n"/>
      <c r="K907">
        <f>IF($C907="","",IF(COUNTIF($C$3:$C907,$C907)=1,$C907,""))</f>
        <v/>
      </c>
      <c r="L907">
        <f>IF($K907="","",$M907+ROW()/10000000)</f>
        <v/>
      </c>
      <c r="M907">
        <f>IF($K907="","",SUMIF($C$3:$C$1002,$K907,$G$3:$G$1002))</f>
        <v/>
      </c>
      <c r="N907">
        <f>IF($K907="","",COUNTIF($C$3:$C$1002,$K907))</f>
        <v/>
      </c>
      <c r="P907">
        <f>IF($A907="","",$A907*100000+ROW())</f>
        <v/>
      </c>
    </row>
    <row r="908" ht="18" customHeight="1">
      <c r="A908" s="60" t="n"/>
      <c r="B908" s="61">
        <f>IF(A908="","",TEXT(A908,"mmm yyyy"))</f>
        <v/>
      </c>
      <c r="C908" s="62" t="n"/>
      <c r="D908" s="62" t="n"/>
      <c r="E908" s="62" t="n"/>
      <c r="F908" s="62" t="n"/>
      <c r="G908" s="63" t="n"/>
      <c r="H908" s="62" t="n"/>
      <c r="K908">
        <f>IF($C908="","",IF(COUNTIF($C$3:$C908,$C908)=1,$C908,""))</f>
        <v/>
      </c>
      <c r="L908">
        <f>IF($K908="","",$M908+ROW()/10000000)</f>
        <v/>
      </c>
      <c r="M908">
        <f>IF($K908="","",SUMIF($C$3:$C$1002,$K908,$G$3:$G$1002))</f>
        <v/>
      </c>
      <c r="N908">
        <f>IF($K908="","",COUNTIF($C$3:$C$1002,$K908))</f>
        <v/>
      </c>
      <c r="P908">
        <f>IF($A908="","",$A908*100000+ROW())</f>
        <v/>
      </c>
    </row>
    <row r="909" ht="18" customHeight="1">
      <c r="A909" s="60" t="n"/>
      <c r="B909" s="61">
        <f>IF(A909="","",TEXT(A909,"mmm yyyy"))</f>
        <v/>
      </c>
      <c r="C909" s="62" t="n"/>
      <c r="D909" s="62" t="n"/>
      <c r="E909" s="62" t="n"/>
      <c r="F909" s="62" t="n"/>
      <c r="G909" s="63" t="n"/>
      <c r="H909" s="62" t="n"/>
      <c r="K909">
        <f>IF($C909="","",IF(COUNTIF($C$3:$C909,$C909)=1,$C909,""))</f>
        <v/>
      </c>
      <c r="L909">
        <f>IF($K909="","",$M909+ROW()/10000000)</f>
        <v/>
      </c>
      <c r="M909">
        <f>IF($K909="","",SUMIF($C$3:$C$1002,$K909,$G$3:$G$1002))</f>
        <v/>
      </c>
      <c r="N909">
        <f>IF($K909="","",COUNTIF($C$3:$C$1002,$K909))</f>
        <v/>
      </c>
      <c r="P909">
        <f>IF($A909="","",$A909*100000+ROW())</f>
        <v/>
      </c>
    </row>
    <row r="910" ht="18" customHeight="1">
      <c r="A910" s="60" t="n"/>
      <c r="B910" s="61">
        <f>IF(A910="","",TEXT(A910,"mmm yyyy"))</f>
        <v/>
      </c>
      <c r="C910" s="62" t="n"/>
      <c r="D910" s="62" t="n"/>
      <c r="E910" s="62" t="n"/>
      <c r="F910" s="62" t="n"/>
      <c r="G910" s="63" t="n"/>
      <c r="H910" s="62" t="n"/>
      <c r="K910">
        <f>IF($C910="","",IF(COUNTIF($C$3:$C910,$C910)=1,$C910,""))</f>
        <v/>
      </c>
      <c r="L910">
        <f>IF($K910="","",$M910+ROW()/10000000)</f>
        <v/>
      </c>
      <c r="M910">
        <f>IF($K910="","",SUMIF($C$3:$C$1002,$K910,$G$3:$G$1002))</f>
        <v/>
      </c>
      <c r="N910">
        <f>IF($K910="","",COUNTIF($C$3:$C$1002,$K910))</f>
        <v/>
      </c>
      <c r="P910">
        <f>IF($A910="","",$A910*100000+ROW())</f>
        <v/>
      </c>
    </row>
    <row r="911" ht="18" customHeight="1">
      <c r="A911" s="60" t="n"/>
      <c r="B911" s="61">
        <f>IF(A911="","",TEXT(A911,"mmm yyyy"))</f>
        <v/>
      </c>
      <c r="C911" s="62" t="n"/>
      <c r="D911" s="62" t="n"/>
      <c r="E911" s="62" t="n"/>
      <c r="F911" s="62" t="n"/>
      <c r="G911" s="63" t="n"/>
      <c r="H911" s="62" t="n"/>
      <c r="K911">
        <f>IF($C911="","",IF(COUNTIF($C$3:$C911,$C911)=1,$C911,""))</f>
        <v/>
      </c>
      <c r="L911">
        <f>IF($K911="","",$M911+ROW()/10000000)</f>
        <v/>
      </c>
      <c r="M911">
        <f>IF($K911="","",SUMIF($C$3:$C$1002,$K911,$G$3:$G$1002))</f>
        <v/>
      </c>
      <c r="N911">
        <f>IF($K911="","",COUNTIF($C$3:$C$1002,$K911))</f>
        <v/>
      </c>
      <c r="P911">
        <f>IF($A911="","",$A911*100000+ROW())</f>
        <v/>
      </c>
    </row>
    <row r="912" ht="18" customHeight="1">
      <c r="A912" s="60" t="n"/>
      <c r="B912" s="61">
        <f>IF(A912="","",TEXT(A912,"mmm yyyy"))</f>
        <v/>
      </c>
      <c r="C912" s="62" t="n"/>
      <c r="D912" s="62" t="n"/>
      <c r="E912" s="62" t="n"/>
      <c r="F912" s="62" t="n"/>
      <c r="G912" s="63" t="n"/>
      <c r="H912" s="62" t="n"/>
      <c r="K912">
        <f>IF($C912="","",IF(COUNTIF($C$3:$C912,$C912)=1,$C912,""))</f>
        <v/>
      </c>
      <c r="L912">
        <f>IF($K912="","",$M912+ROW()/10000000)</f>
        <v/>
      </c>
      <c r="M912">
        <f>IF($K912="","",SUMIF($C$3:$C$1002,$K912,$G$3:$G$1002))</f>
        <v/>
      </c>
      <c r="N912">
        <f>IF($K912="","",COUNTIF($C$3:$C$1002,$K912))</f>
        <v/>
      </c>
      <c r="P912">
        <f>IF($A912="","",$A912*100000+ROW())</f>
        <v/>
      </c>
    </row>
    <row r="913" ht="18" customHeight="1">
      <c r="A913" s="60" t="n"/>
      <c r="B913" s="61">
        <f>IF(A913="","",TEXT(A913,"mmm yyyy"))</f>
        <v/>
      </c>
      <c r="C913" s="62" t="n"/>
      <c r="D913" s="62" t="n"/>
      <c r="E913" s="62" t="n"/>
      <c r="F913" s="62" t="n"/>
      <c r="G913" s="63" t="n"/>
      <c r="H913" s="62" t="n"/>
      <c r="K913">
        <f>IF($C913="","",IF(COUNTIF($C$3:$C913,$C913)=1,$C913,""))</f>
        <v/>
      </c>
      <c r="L913">
        <f>IF($K913="","",$M913+ROW()/10000000)</f>
        <v/>
      </c>
      <c r="M913">
        <f>IF($K913="","",SUMIF($C$3:$C$1002,$K913,$G$3:$G$1002))</f>
        <v/>
      </c>
      <c r="N913">
        <f>IF($K913="","",COUNTIF($C$3:$C$1002,$K913))</f>
        <v/>
      </c>
      <c r="P913">
        <f>IF($A913="","",$A913*100000+ROW())</f>
        <v/>
      </c>
    </row>
    <row r="914" ht="18" customHeight="1">
      <c r="A914" s="60" t="n"/>
      <c r="B914" s="61">
        <f>IF(A914="","",TEXT(A914,"mmm yyyy"))</f>
        <v/>
      </c>
      <c r="C914" s="62" t="n"/>
      <c r="D914" s="62" t="n"/>
      <c r="E914" s="62" t="n"/>
      <c r="F914" s="62" t="n"/>
      <c r="G914" s="63" t="n"/>
      <c r="H914" s="62" t="n"/>
      <c r="K914">
        <f>IF($C914="","",IF(COUNTIF($C$3:$C914,$C914)=1,$C914,""))</f>
        <v/>
      </c>
      <c r="L914">
        <f>IF($K914="","",$M914+ROW()/10000000)</f>
        <v/>
      </c>
      <c r="M914">
        <f>IF($K914="","",SUMIF($C$3:$C$1002,$K914,$G$3:$G$1002))</f>
        <v/>
      </c>
      <c r="N914">
        <f>IF($K914="","",COUNTIF($C$3:$C$1002,$K914))</f>
        <v/>
      </c>
      <c r="P914">
        <f>IF($A914="","",$A914*100000+ROW())</f>
        <v/>
      </c>
    </row>
    <row r="915" ht="18" customHeight="1">
      <c r="A915" s="60" t="n"/>
      <c r="B915" s="61">
        <f>IF(A915="","",TEXT(A915,"mmm yyyy"))</f>
        <v/>
      </c>
      <c r="C915" s="62" t="n"/>
      <c r="D915" s="62" t="n"/>
      <c r="E915" s="62" t="n"/>
      <c r="F915" s="62" t="n"/>
      <c r="G915" s="63" t="n"/>
      <c r="H915" s="62" t="n"/>
      <c r="K915">
        <f>IF($C915="","",IF(COUNTIF($C$3:$C915,$C915)=1,$C915,""))</f>
        <v/>
      </c>
      <c r="L915">
        <f>IF($K915="","",$M915+ROW()/10000000)</f>
        <v/>
      </c>
      <c r="M915">
        <f>IF($K915="","",SUMIF($C$3:$C$1002,$K915,$G$3:$G$1002))</f>
        <v/>
      </c>
      <c r="N915">
        <f>IF($K915="","",COUNTIF($C$3:$C$1002,$K915))</f>
        <v/>
      </c>
      <c r="P915">
        <f>IF($A915="","",$A915*100000+ROW())</f>
        <v/>
      </c>
    </row>
    <row r="916" ht="18" customHeight="1">
      <c r="A916" s="60" t="n"/>
      <c r="B916" s="61">
        <f>IF(A916="","",TEXT(A916,"mmm yyyy"))</f>
        <v/>
      </c>
      <c r="C916" s="62" t="n"/>
      <c r="D916" s="62" t="n"/>
      <c r="E916" s="62" t="n"/>
      <c r="F916" s="62" t="n"/>
      <c r="G916" s="63" t="n"/>
      <c r="H916" s="62" t="n"/>
      <c r="K916">
        <f>IF($C916="","",IF(COUNTIF($C$3:$C916,$C916)=1,$C916,""))</f>
        <v/>
      </c>
      <c r="L916">
        <f>IF($K916="","",$M916+ROW()/10000000)</f>
        <v/>
      </c>
      <c r="M916">
        <f>IF($K916="","",SUMIF($C$3:$C$1002,$K916,$G$3:$G$1002))</f>
        <v/>
      </c>
      <c r="N916">
        <f>IF($K916="","",COUNTIF($C$3:$C$1002,$K916))</f>
        <v/>
      </c>
      <c r="P916">
        <f>IF($A916="","",$A916*100000+ROW())</f>
        <v/>
      </c>
    </row>
    <row r="917" ht="18" customHeight="1">
      <c r="A917" s="60" t="n"/>
      <c r="B917" s="61">
        <f>IF(A917="","",TEXT(A917,"mmm yyyy"))</f>
        <v/>
      </c>
      <c r="C917" s="62" t="n"/>
      <c r="D917" s="62" t="n"/>
      <c r="E917" s="62" t="n"/>
      <c r="F917" s="62" t="n"/>
      <c r="G917" s="63" t="n"/>
      <c r="H917" s="62" t="n"/>
      <c r="K917">
        <f>IF($C917="","",IF(COUNTIF($C$3:$C917,$C917)=1,$C917,""))</f>
        <v/>
      </c>
      <c r="L917">
        <f>IF($K917="","",$M917+ROW()/10000000)</f>
        <v/>
      </c>
      <c r="M917">
        <f>IF($K917="","",SUMIF($C$3:$C$1002,$K917,$G$3:$G$1002))</f>
        <v/>
      </c>
      <c r="N917">
        <f>IF($K917="","",COUNTIF($C$3:$C$1002,$K917))</f>
        <v/>
      </c>
      <c r="P917">
        <f>IF($A917="","",$A917*100000+ROW())</f>
        <v/>
      </c>
    </row>
    <row r="918" ht="18" customHeight="1">
      <c r="A918" s="60" t="n"/>
      <c r="B918" s="61">
        <f>IF(A918="","",TEXT(A918,"mmm yyyy"))</f>
        <v/>
      </c>
      <c r="C918" s="62" t="n"/>
      <c r="D918" s="62" t="n"/>
      <c r="E918" s="62" t="n"/>
      <c r="F918" s="62" t="n"/>
      <c r="G918" s="63" t="n"/>
      <c r="H918" s="62" t="n"/>
      <c r="K918">
        <f>IF($C918="","",IF(COUNTIF($C$3:$C918,$C918)=1,$C918,""))</f>
        <v/>
      </c>
      <c r="L918">
        <f>IF($K918="","",$M918+ROW()/10000000)</f>
        <v/>
      </c>
      <c r="M918">
        <f>IF($K918="","",SUMIF($C$3:$C$1002,$K918,$G$3:$G$1002))</f>
        <v/>
      </c>
      <c r="N918">
        <f>IF($K918="","",COUNTIF($C$3:$C$1002,$K918))</f>
        <v/>
      </c>
      <c r="P918">
        <f>IF($A918="","",$A918*100000+ROW())</f>
        <v/>
      </c>
    </row>
    <row r="919" ht="18" customHeight="1">
      <c r="A919" s="60" t="n"/>
      <c r="B919" s="61">
        <f>IF(A919="","",TEXT(A919,"mmm yyyy"))</f>
        <v/>
      </c>
      <c r="C919" s="62" t="n"/>
      <c r="D919" s="62" t="n"/>
      <c r="E919" s="62" t="n"/>
      <c r="F919" s="62" t="n"/>
      <c r="G919" s="63" t="n"/>
      <c r="H919" s="62" t="n"/>
      <c r="K919">
        <f>IF($C919="","",IF(COUNTIF($C$3:$C919,$C919)=1,$C919,""))</f>
        <v/>
      </c>
      <c r="L919">
        <f>IF($K919="","",$M919+ROW()/10000000)</f>
        <v/>
      </c>
      <c r="M919">
        <f>IF($K919="","",SUMIF($C$3:$C$1002,$K919,$G$3:$G$1002))</f>
        <v/>
      </c>
      <c r="N919">
        <f>IF($K919="","",COUNTIF($C$3:$C$1002,$K919))</f>
        <v/>
      </c>
      <c r="P919">
        <f>IF($A919="","",$A919*100000+ROW())</f>
        <v/>
      </c>
    </row>
    <row r="920" ht="18" customHeight="1">
      <c r="A920" s="60" t="n"/>
      <c r="B920" s="61">
        <f>IF(A920="","",TEXT(A920,"mmm yyyy"))</f>
        <v/>
      </c>
      <c r="C920" s="62" t="n"/>
      <c r="D920" s="62" t="n"/>
      <c r="E920" s="62" t="n"/>
      <c r="F920" s="62" t="n"/>
      <c r="G920" s="63" t="n"/>
      <c r="H920" s="62" t="n"/>
      <c r="K920">
        <f>IF($C920="","",IF(COUNTIF($C$3:$C920,$C920)=1,$C920,""))</f>
        <v/>
      </c>
      <c r="L920">
        <f>IF($K920="","",$M920+ROW()/10000000)</f>
        <v/>
      </c>
      <c r="M920">
        <f>IF($K920="","",SUMIF($C$3:$C$1002,$K920,$G$3:$G$1002))</f>
        <v/>
      </c>
      <c r="N920">
        <f>IF($K920="","",COUNTIF($C$3:$C$1002,$K920))</f>
        <v/>
      </c>
      <c r="P920">
        <f>IF($A920="","",$A920*100000+ROW())</f>
        <v/>
      </c>
    </row>
    <row r="921" ht="18" customHeight="1">
      <c r="A921" s="60" t="n"/>
      <c r="B921" s="61">
        <f>IF(A921="","",TEXT(A921,"mmm yyyy"))</f>
        <v/>
      </c>
      <c r="C921" s="62" t="n"/>
      <c r="D921" s="62" t="n"/>
      <c r="E921" s="62" t="n"/>
      <c r="F921" s="62" t="n"/>
      <c r="G921" s="63" t="n"/>
      <c r="H921" s="62" t="n"/>
      <c r="K921">
        <f>IF($C921="","",IF(COUNTIF($C$3:$C921,$C921)=1,$C921,""))</f>
        <v/>
      </c>
      <c r="L921">
        <f>IF($K921="","",$M921+ROW()/10000000)</f>
        <v/>
      </c>
      <c r="M921">
        <f>IF($K921="","",SUMIF($C$3:$C$1002,$K921,$G$3:$G$1002))</f>
        <v/>
      </c>
      <c r="N921">
        <f>IF($K921="","",COUNTIF($C$3:$C$1002,$K921))</f>
        <v/>
      </c>
      <c r="P921">
        <f>IF($A921="","",$A921*100000+ROW())</f>
        <v/>
      </c>
    </row>
    <row r="922" ht="18" customHeight="1">
      <c r="A922" s="60" t="n"/>
      <c r="B922" s="61">
        <f>IF(A922="","",TEXT(A922,"mmm yyyy"))</f>
        <v/>
      </c>
      <c r="C922" s="62" t="n"/>
      <c r="D922" s="62" t="n"/>
      <c r="E922" s="62" t="n"/>
      <c r="F922" s="62" t="n"/>
      <c r="G922" s="63" t="n"/>
      <c r="H922" s="62" t="n"/>
      <c r="K922">
        <f>IF($C922="","",IF(COUNTIF($C$3:$C922,$C922)=1,$C922,""))</f>
        <v/>
      </c>
      <c r="L922">
        <f>IF($K922="","",$M922+ROW()/10000000)</f>
        <v/>
      </c>
      <c r="M922">
        <f>IF($K922="","",SUMIF($C$3:$C$1002,$K922,$G$3:$G$1002))</f>
        <v/>
      </c>
      <c r="N922">
        <f>IF($K922="","",COUNTIF($C$3:$C$1002,$K922))</f>
        <v/>
      </c>
      <c r="P922">
        <f>IF($A922="","",$A922*100000+ROW())</f>
        <v/>
      </c>
    </row>
    <row r="923" ht="18" customHeight="1">
      <c r="A923" s="60" t="n"/>
      <c r="B923" s="61">
        <f>IF(A923="","",TEXT(A923,"mmm yyyy"))</f>
        <v/>
      </c>
      <c r="C923" s="62" t="n"/>
      <c r="D923" s="62" t="n"/>
      <c r="E923" s="62" t="n"/>
      <c r="F923" s="62" t="n"/>
      <c r="G923" s="63" t="n"/>
      <c r="H923" s="62" t="n"/>
      <c r="K923">
        <f>IF($C923="","",IF(COUNTIF($C$3:$C923,$C923)=1,$C923,""))</f>
        <v/>
      </c>
      <c r="L923">
        <f>IF($K923="","",$M923+ROW()/10000000)</f>
        <v/>
      </c>
      <c r="M923">
        <f>IF($K923="","",SUMIF($C$3:$C$1002,$K923,$G$3:$G$1002))</f>
        <v/>
      </c>
      <c r="N923">
        <f>IF($K923="","",COUNTIF($C$3:$C$1002,$K923))</f>
        <v/>
      </c>
      <c r="P923">
        <f>IF($A923="","",$A923*100000+ROW())</f>
        <v/>
      </c>
    </row>
    <row r="924" ht="18" customHeight="1">
      <c r="A924" s="60" t="n"/>
      <c r="B924" s="61">
        <f>IF(A924="","",TEXT(A924,"mmm yyyy"))</f>
        <v/>
      </c>
      <c r="C924" s="62" t="n"/>
      <c r="D924" s="62" t="n"/>
      <c r="E924" s="62" t="n"/>
      <c r="F924" s="62" t="n"/>
      <c r="G924" s="63" t="n"/>
      <c r="H924" s="62" t="n"/>
      <c r="K924">
        <f>IF($C924="","",IF(COUNTIF($C$3:$C924,$C924)=1,$C924,""))</f>
        <v/>
      </c>
      <c r="L924">
        <f>IF($K924="","",$M924+ROW()/10000000)</f>
        <v/>
      </c>
      <c r="M924">
        <f>IF($K924="","",SUMIF($C$3:$C$1002,$K924,$G$3:$G$1002))</f>
        <v/>
      </c>
      <c r="N924">
        <f>IF($K924="","",COUNTIF($C$3:$C$1002,$K924))</f>
        <v/>
      </c>
      <c r="P924">
        <f>IF($A924="","",$A924*100000+ROW())</f>
        <v/>
      </c>
    </row>
    <row r="925" ht="18" customHeight="1">
      <c r="A925" s="60" t="n"/>
      <c r="B925" s="61">
        <f>IF(A925="","",TEXT(A925,"mmm yyyy"))</f>
        <v/>
      </c>
      <c r="C925" s="62" t="n"/>
      <c r="D925" s="62" t="n"/>
      <c r="E925" s="62" t="n"/>
      <c r="F925" s="62" t="n"/>
      <c r="G925" s="63" t="n"/>
      <c r="H925" s="62" t="n"/>
      <c r="K925">
        <f>IF($C925="","",IF(COUNTIF($C$3:$C925,$C925)=1,$C925,""))</f>
        <v/>
      </c>
      <c r="L925">
        <f>IF($K925="","",$M925+ROW()/10000000)</f>
        <v/>
      </c>
      <c r="M925">
        <f>IF($K925="","",SUMIF($C$3:$C$1002,$K925,$G$3:$G$1002))</f>
        <v/>
      </c>
      <c r="N925">
        <f>IF($K925="","",COUNTIF($C$3:$C$1002,$K925))</f>
        <v/>
      </c>
      <c r="P925">
        <f>IF($A925="","",$A925*100000+ROW())</f>
        <v/>
      </c>
    </row>
    <row r="926" ht="18" customHeight="1">
      <c r="A926" s="60" t="n"/>
      <c r="B926" s="61">
        <f>IF(A926="","",TEXT(A926,"mmm yyyy"))</f>
        <v/>
      </c>
      <c r="C926" s="62" t="n"/>
      <c r="D926" s="62" t="n"/>
      <c r="E926" s="62" t="n"/>
      <c r="F926" s="62" t="n"/>
      <c r="G926" s="63" t="n"/>
      <c r="H926" s="62" t="n"/>
      <c r="K926">
        <f>IF($C926="","",IF(COUNTIF($C$3:$C926,$C926)=1,$C926,""))</f>
        <v/>
      </c>
      <c r="L926">
        <f>IF($K926="","",$M926+ROW()/10000000)</f>
        <v/>
      </c>
      <c r="M926">
        <f>IF($K926="","",SUMIF($C$3:$C$1002,$K926,$G$3:$G$1002))</f>
        <v/>
      </c>
      <c r="N926">
        <f>IF($K926="","",COUNTIF($C$3:$C$1002,$K926))</f>
        <v/>
      </c>
      <c r="P926">
        <f>IF($A926="","",$A926*100000+ROW())</f>
        <v/>
      </c>
    </row>
    <row r="927" ht="18" customHeight="1">
      <c r="A927" s="60" t="n"/>
      <c r="B927" s="61">
        <f>IF(A927="","",TEXT(A927,"mmm yyyy"))</f>
        <v/>
      </c>
      <c r="C927" s="62" t="n"/>
      <c r="D927" s="62" t="n"/>
      <c r="E927" s="62" t="n"/>
      <c r="F927" s="62" t="n"/>
      <c r="G927" s="63" t="n"/>
      <c r="H927" s="62" t="n"/>
      <c r="K927">
        <f>IF($C927="","",IF(COUNTIF($C$3:$C927,$C927)=1,$C927,""))</f>
        <v/>
      </c>
      <c r="L927">
        <f>IF($K927="","",$M927+ROW()/10000000)</f>
        <v/>
      </c>
      <c r="M927">
        <f>IF($K927="","",SUMIF($C$3:$C$1002,$K927,$G$3:$G$1002))</f>
        <v/>
      </c>
      <c r="N927">
        <f>IF($K927="","",COUNTIF($C$3:$C$1002,$K927))</f>
        <v/>
      </c>
      <c r="P927">
        <f>IF($A927="","",$A927*100000+ROW())</f>
        <v/>
      </c>
    </row>
    <row r="928" ht="18" customHeight="1">
      <c r="A928" s="60" t="n"/>
      <c r="B928" s="61">
        <f>IF(A928="","",TEXT(A928,"mmm yyyy"))</f>
        <v/>
      </c>
      <c r="C928" s="62" t="n"/>
      <c r="D928" s="62" t="n"/>
      <c r="E928" s="62" t="n"/>
      <c r="F928" s="62" t="n"/>
      <c r="G928" s="63" t="n"/>
      <c r="H928" s="62" t="n"/>
      <c r="K928">
        <f>IF($C928="","",IF(COUNTIF($C$3:$C928,$C928)=1,$C928,""))</f>
        <v/>
      </c>
      <c r="L928">
        <f>IF($K928="","",$M928+ROW()/10000000)</f>
        <v/>
      </c>
      <c r="M928">
        <f>IF($K928="","",SUMIF($C$3:$C$1002,$K928,$G$3:$G$1002))</f>
        <v/>
      </c>
      <c r="N928">
        <f>IF($K928="","",COUNTIF($C$3:$C$1002,$K928))</f>
        <v/>
      </c>
      <c r="P928">
        <f>IF($A928="","",$A928*100000+ROW())</f>
        <v/>
      </c>
    </row>
    <row r="929" ht="18" customHeight="1">
      <c r="A929" s="60" t="n"/>
      <c r="B929" s="61">
        <f>IF(A929="","",TEXT(A929,"mmm yyyy"))</f>
        <v/>
      </c>
      <c r="C929" s="62" t="n"/>
      <c r="D929" s="62" t="n"/>
      <c r="E929" s="62" t="n"/>
      <c r="F929" s="62" t="n"/>
      <c r="G929" s="63" t="n"/>
      <c r="H929" s="62" t="n"/>
      <c r="K929">
        <f>IF($C929="","",IF(COUNTIF($C$3:$C929,$C929)=1,$C929,""))</f>
        <v/>
      </c>
      <c r="L929">
        <f>IF($K929="","",$M929+ROW()/10000000)</f>
        <v/>
      </c>
      <c r="M929">
        <f>IF($K929="","",SUMIF($C$3:$C$1002,$K929,$G$3:$G$1002))</f>
        <v/>
      </c>
      <c r="N929">
        <f>IF($K929="","",COUNTIF($C$3:$C$1002,$K929))</f>
        <v/>
      </c>
      <c r="P929">
        <f>IF($A929="","",$A929*100000+ROW())</f>
        <v/>
      </c>
    </row>
    <row r="930" ht="18" customHeight="1">
      <c r="A930" s="60" t="n"/>
      <c r="B930" s="61">
        <f>IF(A930="","",TEXT(A930,"mmm yyyy"))</f>
        <v/>
      </c>
      <c r="C930" s="62" t="n"/>
      <c r="D930" s="62" t="n"/>
      <c r="E930" s="62" t="n"/>
      <c r="F930" s="62" t="n"/>
      <c r="G930" s="63" t="n"/>
      <c r="H930" s="62" t="n"/>
      <c r="K930">
        <f>IF($C930="","",IF(COUNTIF($C$3:$C930,$C930)=1,$C930,""))</f>
        <v/>
      </c>
      <c r="L930">
        <f>IF($K930="","",$M930+ROW()/10000000)</f>
        <v/>
      </c>
      <c r="M930">
        <f>IF($K930="","",SUMIF($C$3:$C$1002,$K930,$G$3:$G$1002))</f>
        <v/>
      </c>
      <c r="N930">
        <f>IF($K930="","",COUNTIF($C$3:$C$1002,$K930))</f>
        <v/>
      </c>
      <c r="P930">
        <f>IF($A930="","",$A930*100000+ROW())</f>
        <v/>
      </c>
    </row>
    <row r="931" ht="18" customHeight="1">
      <c r="A931" s="60" t="n"/>
      <c r="B931" s="61">
        <f>IF(A931="","",TEXT(A931,"mmm yyyy"))</f>
        <v/>
      </c>
      <c r="C931" s="62" t="n"/>
      <c r="D931" s="62" t="n"/>
      <c r="E931" s="62" t="n"/>
      <c r="F931" s="62" t="n"/>
      <c r="G931" s="63" t="n"/>
      <c r="H931" s="62" t="n"/>
      <c r="K931">
        <f>IF($C931="","",IF(COUNTIF($C$3:$C931,$C931)=1,$C931,""))</f>
        <v/>
      </c>
      <c r="L931">
        <f>IF($K931="","",$M931+ROW()/10000000)</f>
        <v/>
      </c>
      <c r="M931">
        <f>IF($K931="","",SUMIF($C$3:$C$1002,$K931,$G$3:$G$1002))</f>
        <v/>
      </c>
      <c r="N931">
        <f>IF($K931="","",COUNTIF($C$3:$C$1002,$K931))</f>
        <v/>
      </c>
      <c r="P931">
        <f>IF($A931="","",$A931*100000+ROW())</f>
        <v/>
      </c>
    </row>
    <row r="932" ht="18" customHeight="1">
      <c r="A932" s="60" t="n"/>
      <c r="B932" s="61">
        <f>IF(A932="","",TEXT(A932,"mmm yyyy"))</f>
        <v/>
      </c>
      <c r="C932" s="62" t="n"/>
      <c r="D932" s="62" t="n"/>
      <c r="E932" s="62" t="n"/>
      <c r="F932" s="62" t="n"/>
      <c r="G932" s="63" t="n"/>
      <c r="H932" s="62" t="n"/>
      <c r="K932">
        <f>IF($C932="","",IF(COUNTIF($C$3:$C932,$C932)=1,$C932,""))</f>
        <v/>
      </c>
      <c r="L932">
        <f>IF($K932="","",$M932+ROW()/10000000)</f>
        <v/>
      </c>
      <c r="M932">
        <f>IF($K932="","",SUMIF($C$3:$C$1002,$K932,$G$3:$G$1002))</f>
        <v/>
      </c>
      <c r="N932">
        <f>IF($K932="","",COUNTIF($C$3:$C$1002,$K932))</f>
        <v/>
      </c>
      <c r="P932">
        <f>IF($A932="","",$A932*100000+ROW())</f>
        <v/>
      </c>
    </row>
    <row r="933" ht="18" customHeight="1">
      <c r="A933" s="60" t="n"/>
      <c r="B933" s="61">
        <f>IF(A933="","",TEXT(A933,"mmm yyyy"))</f>
        <v/>
      </c>
      <c r="C933" s="62" t="n"/>
      <c r="D933" s="62" t="n"/>
      <c r="E933" s="62" t="n"/>
      <c r="F933" s="62" t="n"/>
      <c r="G933" s="63" t="n"/>
      <c r="H933" s="62" t="n"/>
      <c r="K933">
        <f>IF($C933="","",IF(COUNTIF($C$3:$C933,$C933)=1,$C933,""))</f>
        <v/>
      </c>
      <c r="L933">
        <f>IF($K933="","",$M933+ROW()/10000000)</f>
        <v/>
      </c>
      <c r="M933">
        <f>IF($K933="","",SUMIF($C$3:$C$1002,$K933,$G$3:$G$1002))</f>
        <v/>
      </c>
      <c r="N933">
        <f>IF($K933="","",COUNTIF($C$3:$C$1002,$K933))</f>
        <v/>
      </c>
      <c r="P933">
        <f>IF($A933="","",$A933*100000+ROW())</f>
        <v/>
      </c>
    </row>
    <row r="934" ht="18" customHeight="1">
      <c r="A934" s="60" t="n"/>
      <c r="B934" s="61">
        <f>IF(A934="","",TEXT(A934,"mmm yyyy"))</f>
        <v/>
      </c>
      <c r="C934" s="62" t="n"/>
      <c r="D934" s="62" t="n"/>
      <c r="E934" s="62" t="n"/>
      <c r="F934" s="62" t="n"/>
      <c r="G934" s="63" t="n"/>
      <c r="H934" s="62" t="n"/>
      <c r="K934">
        <f>IF($C934="","",IF(COUNTIF($C$3:$C934,$C934)=1,$C934,""))</f>
        <v/>
      </c>
      <c r="L934">
        <f>IF($K934="","",$M934+ROW()/10000000)</f>
        <v/>
      </c>
      <c r="M934">
        <f>IF($K934="","",SUMIF($C$3:$C$1002,$K934,$G$3:$G$1002))</f>
        <v/>
      </c>
      <c r="N934">
        <f>IF($K934="","",COUNTIF($C$3:$C$1002,$K934))</f>
        <v/>
      </c>
      <c r="P934">
        <f>IF($A934="","",$A934*100000+ROW())</f>
        <v/>
      </c>
    </row>
    <row r="935" ht="18" customHeight="1">
      <c r="A935" s="60" t="n"/>
      <c r="B935" s="61">
        <f>IF(A935="","",TEXT(A935,"mmm yyyy"))</f>
        <v/>
      </c>
      <c r="C935" s="62" t="n"/>
      <c r="D935" s="62" t="n"/>
      <c r="E935" s="62" t="n"/>
      <c r="F935" s="62" t="n"/>
      <c r="G935" s="63" t="n"/>
      <c r="H935" s="62" t="n"/>
      <c r="K935">
        <f>IF($C935="","",IF(COUNTIF($C$3:$C935,$C935)=1,$C935,""))</f>
        <v/>
      </c>
      <c r="L935">
        <f>IF($K935="","",$M935+ROW()/10000000)</f>
        <v/>
      </c>
      <c r="M935">
        <f>IF($K935="","",SUMIF($C$3:$C$1002,$K935,$G$3:$G$1002))</f>
        <v/>
      </c>
      <c r="N935">
        <f>IF($K935="","",COUNTIF($C$3:$C$1002,$K935))</f>
        <v/>
      </c>
      <c r="P935">
        <f>IF($A935="","",$A935*100000+ROW())</f>
        <v/>
      </c>
    </row>
    <row r="936" ht="18" customHeight="1">
      <c r="A936" s="60" t="n"/>
      <c r="B936" s="61">
        <f>IF(A936="","",TEXT(A936,"mmm yyyy"))</f>
        <v/>
      </c>
      <c r="C936" s="62" t="n"/>
      <c r="D936" s="62" t="n"/>
      <c r="E936" s="62" t="n"/>
      <c r="F936" s="62" t="n"/>
      <c r="G936" s="63" t="n"/>
      <c r="H936" s="62" t="n"/>
      <c r="K936">
        <f>IF($C936="","",IF(COUNTIF($C$3:$C936,$C936)=1,$C936,""))</f>
        <v/>
      </c>
      <c r="L936">
        <f>IF($K936="","",$M936+ROW()/10000000)</f>
        <v/>
      </c>
      <c r="M936">
        <f>IF($K936="","",SUMIF($C$3:$C$1002,$K936,$G$3:$G$1002))</f>
        <v/>
      </c>
      <c r="N936">
        <f>IF($K936="","",COUNTIF($C$3:$C$1002,$K936))</f>
        <v/>
      </c>
      <c r="P936">
        <f>IF($A936="","",$A936*100000+ROW())</f>
        <v/>
      </c>
    </row>
    <row r="937" ht="18" customHeight="1">
      <c r="A937" s="60" t="n"/>
      <c r="B937" s="61">
        <f>IF(A937="","",TEXT(A937,"mmm yyyy"))</f>
        <v/>
      </c>
      <c r="C937" s="62" t="n"/>
      <c r="D937" s="62" t="n"/>
      <c r="E937" s="62" t="n"/>
      <c r="F937" s="62" t="n"/>
      <c r="G937" s="63" t="n"/>
      <c r="H937" s="62" t="n"/>
      <c r="K937">
        <f>IF($C937="","",IF(COUNTIF($C$3:$C937,$C937)=1,$C937,""))</f>
        <v/>
      </c>
      <c r="L937">
        <f>IF($K937="","",$M937+ROW()/10000000)</f>
        <v/>
      </c>
      <c r="M937">
        <f>IF($K937="","",SUMIF($C$3:$C$1002,$K937,$G$3:$G$1002))</f>
        <v/>
      </c>
      <c r="N937">
        <f>IF($K937="","",COUNTIF($C$3:$C$1002,$K937))</f>
        <v/>
      </c>
      <c r="P937">
        <f>IF($A937="","",$A937*100000+ROW())</f>
        <v/>
      </c>
    </row>
    <row r="938" ht="18" customHeight="1">
      <c r="A938" s="60" t="n"/>
      <c r="B938" s="61">
        <f>IF(A938="","",TEXT(A938,"mmm yyyy"))</f>
        <v/>
      </c>
      <c r="C938" s="62" t="n"/>
      <c r="D938" s="62" t="n"/>
      <c r="E938" s="62" t="n"/>
      <c r="F938" s="62" t="n"/>
      <c r="G938" s="63" t="n"/>
      <c r="H938" s="62" t="n"/>
      <c r="K938">
        <f>IF($C938="","",IF(COUNTIF($C$3:$C938,$C938)=1,$C938,""))</f>
        <v/>
      </c>
      <c r="L938">
        <f>IF($K938="","",$M938+ROW()/10000000)</f>
        <v/>
      </c>
      <c r="M938">
        <f>IF($K938="","",SUMIF($C$3:$C$1002,$K938,$G$3:$G$1002))</f>
        <v/>
      </c>
      <c r="N938">
        <f>IF($K938="","",COUNTIF($C$3:$C$1002,$K938))</f>
        <v/>
      </c>
      <c r="P938">
        <f>IF($A938="","",$A938*100000+ROW())</f>
        <v/>
      </c>
    </row>
    <row r="939" ht="18" customHeight="1">
      <c r="A939" s="60" t="n"/>
      <c r="B939" s="61">
        <f>IF(A939="","",TEXT(A939,"mmm yyyy"))</f>
        <v/>
      </c>
      <c r="C939" s="62" t="n"/>
      <c r="D939" s="62" t="n"/>
      <c r="E939" s="62" t="n"/>
      <c r="F939" s="62" t="n"/>
      <c r="G939" s="63" t="n"/>
      <c r="H939" s="62" t="n"/>
      <c r="K939">
        <f>IF($C939="","",IF(COUNTIF($C$3:$C939,$C939)=1,$C939,""))</f>
        <v/>
      </c>
      <c r="L939">
        <f>IF($K939="","",$M939+ROW()/10000000)</f>
        <v/>
      </c>
      <c r="M939">
        <f>IF($K939="","",SUMIF($C$3:$C$1002,$K939,$G$3:$G$1002))</f>
        <v/>
      </c>
      <c r="N939">
        <f>IF($K939="","",COUNTIF($C$3:$C$1002,$K939))</f>
        <v/>
      </c>
      <c r="P939">
        <f>IF($A939="","",$A939*100000+ROW())</f>
        <v/>
      </c>
    </row>
    <row r="940" ht="18" customHeight="1">
      <c r="A940" s="60" t="n"/>
      <c r="B940" s="61">
        <f>IF(A940="","",TEXT(A940,"mmm yyyy"))</f>
        <v/>
      </c>
      <c r="C940" s="62" t="n"/>
      <c r="D940" s="62" t="n"/>
      <c r="E940" s="62" t="n"/>
      <c r="F940" s="62" t="n"/>
      <c r="G940" s="63" t="n"/>
      <c r="H940" s="62" t="n"/>
      <c r="K940">
        <f>IF($C940="","",IF(COUNTIF($C$3:$C940,$C940)=1,$C940,""))</f>
        <v/>
      </c>
      <c r="L940">
        <f>IF($K940="","",$M940+ROW()/10000000)</f>
        <v/>
      </c>
      <c r="M940">
        <f>IF($K940="","",SUMIF($C$3:$C$1002,$K940,$G$3:$G$1002))</f>
        <v/>
      </c>
      <c r="N940">
        <f>IF($K940="","",COUNTIF($C$3:$C$1002,$K940))</f>
        <v/>
      </c>
      <c r="P940">
        <f>IF($A940="","",$A940*100000+ROW())</f>
        <v/>
      </c>
    </row>
    <row r="941" ht="18" customHeight="1">
      <c r="A941" s="60" t="n"/>
      <c r="B941" s="61">
        <f>IF(A941="","",TEXT(A941,"mmm yyyy"))</f>
        <v/>
      </c>
      <c r="C941" s="62" t="n"/>
      <c r="D941" s="62" t="n"/>
      <c r="E941" s="62" t="n"/>
      <c r="F941" s="62" t="n"/>
      <c r="G941" s="63" t="n"/>
      <c r="H941" s="62" t="n"/>
      <c r="K941">
        <f>IF($C941="","",IF(COUNTIF($C$3:$C941,$C941)=1,$C941,""))</f>
        <v/>
      </c>
      <c r="L941">
        <f>IF($K941="","",$M941+ROW()/10000000)</f>
        <v/>
      </c>
      <c r="M941">
        <f>IF($K941="","",SUMIF($C$3:$C$1002,$K941,$G$3:$G$1002))</f>
        <v/>
      </c>
      <c r="N941">
        <f>IF($K941="","",COUNTIF($C$3:$C$1002,$K941))</f>
        <v/>
      </c>
      <c r="P941">
        <f>IF($A941="","",$A941*100000+ROW())</f>
        <v/>
      </c>
    </row>
    <row r="942" ht="18" customHeight="1">
      <c r="A942" s="60" t="n"/>
      <c r="B942" s="61">
        <f>IF(A942="","",TEXT(A942,"mmm yyyy"))</f>
        <v/>
      </c>
      <c r="C942" s="62" t="n"/>
      <c r="D942" s="62" t="n"/>
      <c r="E942" s="62" t="n"/>
      <c r="F942" s="62" t="n"/>
      <c r="G942" s="63" t="n"/>
      <c r="H942" s="62" t="n"/>
      <c r="K942">
        <f>IF($C942="","",IF(COUNTIF($C$3:$C942,$C942)=1,$C942,""))</f>
        <v/>
      </c>
      <c r="L942">
        <f>IF($K942="","",$M942+ROW()/10000000)</f>
        <v/>
      </c>
      <c r="M942">
        <f>IF($K942="","",SUMIF($C$3:$C$1002,$K942,$G$3:$G$1002))</f>
        <v/>
      </c>
      <c r="N942">
        <f>IF($K942="","",COUNTIF($C$3:$C$1002,$K942))</f>
        <v/>
      </c>
      <c r="P942">
        <f>IF($A942="","",$A942*100000+ROW())</f>
        <v/>
      </c>
    </row>
    <row r="943" ht="18" customHeight="1">
      <c r="A943" s="60" t="n"/>
      <c r="B943" s="61">
        <f>IF(A943="","",TEXT(A943,"mmm yyyy"))</f>
        <v/>
      </c>
      <c r="C943" s="62" t="n"/>
      <c r="D943" s="62" t="n"/>
      <c r="E943" s="62" t="n"/>
      <c r="F943" s="62" t="n"/>
      <c r="G943" s="63" t="n"/>
      <c r="H943" s="62" t="n"/>
      <c r="K943">
        <f>IF($C943="","",IF(COUNTIF($C$3:$C943,$C943)=1,$C943,""))</f>
        <v/>
      </c>
      <c r="L943">
        <f>IF($K943="","",$M943+ROW()/10000000)</f>
        <v/>
      </c>
      <c r="M943">
        <f>IF($K943="","",SUMIF($C$3:$C$1002,$K943,$G$3:$G$1002))</f>
        <v/>
      </c>
      <c r="N943">
        <f>IF($K943="","",COUNTIF($C$3:$C$1002,$K943))</f>
        <v/>
      </c>
      <c r="P943">
        <f>IF($A943="","",$A943*100000+ROW())</f>
        <v/>
      </c>
    </row>
    <row r="944" ht="18" customHeight="1">
      <c r="A944" s="60" t="n"/>
      <c r="B944" s="61">
        <f>IF(A944="","",TEXT(A944,"mmm yyyy"))</f>
        <v/>
      </c>
      <c r="C944" s="62" t="n"/>
      <c r="D944" s="62" t="n"/>
      <c r="E944" s="62" t="n"/>
      <c r="F944" s="62" t="n"/>
      <c r="G944" s="63" t="n"/>
      <c r="H944" s="62" t="n"/>
      <c r="K944">
        <f>IF($C944="","",IF(COUNTIF($C$3:$C944,$C944)=1,$C944,""))</f>
        <v/>
      </c>
      <c r="L944">
        <f>IF($K944="","",$M944+ROW()/10000000)</f>
        <v/>
      </c>
      <c r="M944">
        <f>IF($K944="","",SUMIF($C$3:$C$1002,$K944,$G$3:$G$1002))</f>
        <v/>
      </c>
      <c r="N944">
        <f>IF($K944="","",COUNTIF($C$3:$C$1002,$K944))</f>
        <v/>
      </c>
      <c r="P944">
        <f>IF($A944="","",$A944*100000+ROW())</f>
        <v/>
      </c>
    </row>
    <row r="945" ht="18" customHeight="1">
      <c r="A945" s="60" t="n"/>
      <c r="B945" s="61">
        <f>IF(A945="","",TEXT(A945,"mmm yyyy"))</f>
        <v/>
      </c>
      <c r="C945" s="62" t="n"/>
      <c r="D945" s="62" t="n"/>
      <c r="E945" s="62" t="n"/>
      <c r="F945" s="62" t="n"/>
      <c r="G945" s="63" t="n"/>
      <c r="H945" s="62" t="n"/>
      <c r="K945">
        <f>IF($C945="","",IF(COUNTIF($C$3:$C945,$C945)=1,$C945,""))</f>
        <v/>
      </c>
      <c r="L945">
        <f>IF($K945="","",$M945+ROW()/10000000)</f>
        <v/>
      </c>
      <c r="M945">
        <f>IF($K945="","",SUMIF($C$3:$C$1002,$K945,$G$3:$G$1002))</f>
        <v/>
      </c>
      <c r="N945">
        <f>IF($K945="","",COUNTIF($C$3:$C$1002,$K945))</f>
        <v/>
      </c>
      <c r="P945">
        <f>IF($A945="","",$A945*100000+ROW())</f>
        <v/>
      </c>
    </row>
    <row r="946" ht="18" customHeight="1">
      <c r="A946" s="60" t="n"/>
      <c r="B946" s="61">
        <f>IF(A946="","",TEXT(A946,"mmm yyyy"))</f>
        <v/>
      </c>
      <c r="C946" s="62" t="n"/>
      <c r="D946" s="62" t="n"/>
      <c r="E946" s="62" t="n"/>
      <c r="F946" s="62" t="n"/>
      <c r="G946" s="63" t="n"/>
      <c r="H946" s="62" t="n"/>
      <c r="K946">
        <f>IF($C946="","",IF(COUNTIF($C$3:$C946,$C946)=1,$C946,""))</f>
        <v/>
      </c>
      <c r="L946">
        <f>IF($K946="","",$M946+ROW()/10000000)</f>
        <v/>
      </c>
      <c r="M946">
        <f>IF($K946="","",SUMIF($C$3:$C$1002,$K946,$G$3:$G$1002))</f>
        <v/>
      </c>
      <c r="N946">
        <f>IF($K946="","",COUNTIF($C$3:$C$1002,$K946))</f>
        <v/>
      </c>
      <c r="P946">
        <f>IF($A946="","",$A946*100000+ROW())</f>
        <v/>
      </c>
    </row>
    <row r="947" ht="18" customHeight="1">
      <c r="A947" s="60" t="n"/>
      <c r="B947" s="61">
        <f>IF(A947="","",TEXT(A947,"mmm yyyy"))</f>
        <v/>
      </c>
      <c r="C947" s="62" t="n"/>
      <c r="D947" s="62" t="n"/>
      <c r="E947" s="62" t="n"/>
      <c r="F947" s="62" t="n"/>
      <c r="G947" s="63" t="n"/>
      <c r="H947" s="62" t="n"/>
      <c r="K947">
        <f>IF($C947="","",IF(COUNTIF($C$3:$C947,$C947)=1,$C947,""))</f>
        <v/>
      </c>
      <c r="L947">
        <f>IF($K947="","",$M947+ROW()/10000000)</f>
        <v/>
      </c>
      <c r="M947">
        <f>IF($K947="","",SUMIF($C$3:$C$1002,$K947,$G$3:$G$1002))</f>
        <v/>
      </c>
      <c r="N947">
        <f>IF($K947="","",COUNTIF($C$3:$C$1002,$K947))</f>
        <v/>
      </c>
      <c r="P947">
        <f>IF($A947="","",$A947*100000+ROW())</f>
        <v/>
      </c>
    </row>
    <row r="948" ht="18" customHeight="1">
      <c r="A948" s="60" t="n"/>
      <c r="B948" s="61">
        <f>IF(A948="","",TEXT(A948,"mmm yyyy"))</f>
        <v/>
      </c>
      <c r="C948" s="62" t="n"/>
      <c r="D948" s="62" t="n"/>
      <c r="E948" s="62" t="n"/>
      <c r="F948" s="62" t="n"/>
      <c r="G948" s="63" t="n"/>
      <c r="H948" s="62" t="n"/>
      <c r="K948">
        <f>IF($C948="","",IF(COUNTIF($C$3:$C948,$C948)=1,$C948,""))</f>
        <v/>
      </c>
      <c r="L948">
        <f>IF($K948="","",$M948+ROW()/10000000)</f>
        <v/>
      </c>
      <c r="M948">
        <f>IF($K948="","",SUMIF($C$3:$C$1002,$K948,$G$3:$G$1002))</f>
        <v/>
      </c>
      <c r="N948">
        <f>IF($K948="","",COUNTIF($C$3:$C$1002,$K948))</f>
        <v/>
      </c>
      <c r="P948">
        <f>IF($A948="","",$A948*100000+ROW())</f>
        <v/>
      </c>
    </row>
    <row r="949" ht="18" customHeight="1">
      <c r="A949" s="60" t="n"/>
      <c r="B949" s="61">
        <f>IF(A949="","",TEXT(A949,"mmm yyyy"))</f>
        <v/>
      </c>
      <c r="C949" s="62" t="n"/>
      <c r="D949" s="62" t="n"/>
      <c r="E949" s="62" t="n"/>
      <c r="F949" s="62" t="n"/>
      <c r="G949" s="63" t="n"/>
      <c r="H949" s="62" t="n"/>
      <c r="K949">
        <f>IF($C949="","",IF(COUNTIF($C$3:$C949,$C949)=1,$C949,""))</f>
        <v/>
      </c>
      <c r="L949">
        <f>IF($K949="","",$M949+ROW()/10000000)</f>
        <v/>
      </c>
      <c r="M949">
        <f>IF($K949="","",SUMIF($C$3:$C$1002,$K949,$G$3:$G$1002))</f>
        <v/>
      </c>
      <c r="N949">
        <f>IF($K949="","",COUNTIF($C$3:$C$1002,$K949))</f>
        <v/>
      </c>
      <c r="P949">
        <f>IF($A949="","",$A949*100000+ROW())</f>
        <v/>
      </c>
    </row>
    <row r="950" ht="18" customHeight="1">
      <c r="A950" s="60" t="n"/>
      <c r="B950" s="61">
        <f>IF(A950="","",TEXT(A950,"mmm yyyy"))</f>
        <v/>
      </c>
      <c r="C950" s="62" t="n"/>
      <c r="D950" s="62" t="n"/>
      <c r="E950" s="62" t="n"/>
      <c r="F950" s="62" t="n"/>
      <c r="G950" s="63" t="n"/>
      <c r="H950" s="62" t="n"/>
      <c r="K950">
        <f>IF($C950="","",IF(COUNTIF($C$3:$C950,$C950)=1,$C950,""))</f>
        <v/>
      </c>
      <c r="L950">
        <f>IF($K950="","",$M950+ROW()/10000000)</f>
        <v/>
      </c>
      <c r="M950">
        <f>IF($K950="","",SUMIF($C$3:$C$1002,$K950,$G$3:$G$1002))</f>
        <v/>
      </c>
      <c r="N950">
        <f>IF($K950="","",COUNTIF($C$3:$C$1002,$K950))</f>
        <v/>
      </c>
      <c r="P950">
        <f>IF($A950="","",$A950*100000+ROW())</f>
        <v/>
      </c>
    </row>
    <row r="951" ht="18" customHeight="1">
      <c r="A951" s="60" t="n"/>
      <c r="B951" s="61">
        <f>IF(A951="","",TEXT(A951,"mmm yyyy"))</f>
        <v/>
      </c>
      <c r="C951" s="62" t="n"/>
      <c r="D951" s="62" t="n"/>
      <c r="E951" s="62" t="n"/>
      <c r="F951" s="62" t="n"/>
      <c r="G951" s="63" t="n"/>
      <c r="H951" s="62" t="n"/>
      <c r="K951">
        <f>IF($C951="","",IF(COUNTIF($C$3:$C951,$C951)=1,$C951,""))</f>
        <v/>
      </c>
      <c r="L951">
        <f>IF($K951="","",$M951+ROW()/10000000)</f>
        <v/>
      </c>
      <c r="M951">
        <f>IF($K951="","",SUMIF($C$3:$C$1002,$K951,$G$3:$G$1002))</f>
        <v/>
      </c>
      <c r="N951">
        <f>IF($K951="","",COUNTIF($C$3:$C$1002,$K951))</f>
        <v/>
      </c>
      <c r="P951">
        <f>IF($A951="","",$A951*100000+ROW())</f>
        <v/>
      </c>
    </row>
    <row r="952" ht="18" customHeight="1">
      <c r="A952" s="60" t="n"/>
      <c r="B952" s="61">
        <f>IF(A952="","",TEXT(A952,"mmm yyyy"))</f>
        <v/>
      </c>
      <c r="C952" s="62" t="n"/>
      <c r="D952" s="62" t="n"/>
      <c r="E952" s="62" t="n"/>
      <c r="F952" s="62" t="n"/>
      <c r="G952" s="63" t="n"/>
      <c r="H952" s="62" t="n"/>
      <c r="K952">
        <f>IF($C952="","",IF(COUNTIF($C$3:$C952,$C952)=1,$C952,""))</f>
        <v/>
      </c>
      <c r="L952">
        <f>IF($K952="","",$M952+ROW()/10000000)</f>
        <v/>
      </c>
      <c r="M952">
        <f>IF($K952="","",SUMIF($C$3:$C$1002,$K952,$G$3:$G$1002))</f>
        <v/>
      </c>
      <c r="N952">
        <f>IF($K952="","",COUNTIF($C$3:$C$1002,$K952))</f>
        <v/>
      </c>
      <c r="P952">
        <f>IF($A952="","",$A952*100000+ROW())</f>
        <v/>
      </c>
    </row>
    <row r="953" ht="18" customHeight="1">
      <c r="A953" s="60" t="n"/>
      <c r="B953" s="61">
        <f>IF(A953="","",TEXT(A953,"mmm yyyy"))</f>
        <v/>
      </c>
      <c r="C953" s="62" t="n"/>
      <c r="D953" s="62" t="n"/>
      <c r="E953" s="62" t="n"/>
      <c r="F953" s="62" t="n"/>
      <c r="G953" s="63" t="n"/>
      <c r="H953" s="62" t="n"/>
      <c r="K953">
        <f>IF($C953="","",IF(COUNTIF($C$3:$C953,$C953)=1,$C953,""))</f>
        <v/>
      </c>
      <c r="L953">
        <f>IF($K953="","",$M953+ROW()/10000000)</f>
        <v/>
      </c>
      <c r="M953">
        <f>IF($K953="","",SUMIF($C$3:$C$1002,$K953,$G$3:$G$1002))</f>
        <v/>
      </c>
      <c r="N953">
        <f>IF($K953="","",COUNTIF($C$3:$C$1002,$K953))</f>
        <v/>
      </c>
      <c r="P953">
        <f>IF($A953="","",$A953*100000+ROW())</f>
        <v/>
      </c>
    </row>
    <row r="954" ht="18" customHeight="1">
      <c r="A954" s="60" t="n"/>
      <c r="B954" s="61">
        <f>IF(A954="","",TEXT(A954,"mmm yyyy"))</f>
        <v/>
      </c>
      <c r="C954" s="62" t="n"/>
      <c r="D954" s="62" t="n"/>
      <c r="E954" s="62" t="n"/>
      <c r="F954" s="62" t="n"/>
      <c r="G954" s="63" t="n"/>
      <c r="H954" s="62" t="n"/>
      <c r="K954">
        <f>IF($C954="","",IF(COUNTIF($C$3:$C954,$C954)=1,$C954,""))</f>
        <v/>
      </c>
      <c r="L954">
        <f>IF($K954="","",$M954+ROW()/10000000)</f>
        <v/>
      </c>
      <c r="M954">
        <f>IF($K954="","",SUMIF($C$3:$C$1002,$K954,$G$3:$G$1002))</f>
        <v/>
      </c>
      <c r="N954">
        <f>IF($K954="","",COUNTIF($C$3:$C$1002,$K954))</f>
        <v/>
      </c>
      <c r="P954">
        <f>IF($A954="","",$A954*100000+ROW())</f>
        <v/>
      </c>
    </row>
    <row r="955" ht="18" customHeight="1">
      <c r="A955" s="60" t="n"/>
      <c r="B955" s="61">
        <f>IF(A955="","",TEXT(A955,"mmm yyyy"))</f>
        <v/>
      </c>
      <c r="C955" s="62" t="n"/>
      <c r="D955" s="62" t="n"/>
      <c r="E955" s="62" t="n"/>
      <c r="F955" s="62" t="n"/>
      <c r="G955" s="63" t="n"/>
      <c r="H955" s="62" t="n"/>
      <c r="K955">
        <f>IF($C955="","",IF(COUNTIF($C$3:$C955,$C955)=1,$C955,""))</f>
        <v/>
      </c>
      <c r="L955">
        <f>IF($K955="","",$M955+ROW()/10000000)</f>
        <v/>
      </c>
      <c r="M955">
        <f>IF($K955="","",SUMIF($C$3:$C$1002,$K955,$G$3:$G$1002))</f>
        <v/>
      </c>
      <c r="N955">
        <f>IF($K955="","",COUNTIF($C$3:$C$1002,$K955))</f>
        <v/>
      </c>
      <c r="P955">
        <f>IF($A955="","",$A955*100000+ROW())</f>
        <v/>
      </c>
    </row>
    <row r="956" ht="18" customHeight="1">
      <c r="A956" s="60" t="n"/>
      <c r="B956" s="61">
        <f>IF(A956="","",TEXT(A956,"mmm yyyy"))</f>
        <v/>
      </c>
      <c r="C956" s="62" t="n"/>
      <c r="D956" s="62" t="n"/>
      <c r="E956" s="62" t="n"/>
      <c r="F956" s="62" t="n"/>
      <c r="G956" s="63" t="n"/>
      <c r="H956" s="62" t="n"/>
      <c r="K956">
        <f>IF($C956="","",IF(COUNTIF($C$3:$C956,$C956)=1,$C956,""))</f>
        <v/>
      </c>
      <c r="L956">
        <f>IF($K956="","",$M956+ROW()/10000000)</f>
        <v/>
      </c>
      <c r="M956">
        <f>IF($K956="","",SUMIF($C$3:$C$1002,$K956,$G$3:$G$1002))</f>
        <v/>
      </c>
      <c r="N956">
        <f>IF($K956="","",COUNTIF($C$3:$C$1002,$K956))</f>
        <v/>
      </c>
      <c r="P956">
        <f>IF($A956="","",$A956*100000+ROW())</f>
        <v/>
      </c>
    </row>
    <row r="957" ht="18" customHeight="1">
      <c r="A957" s="60" t="n"/>
      <c r="B957" s="61">
        <f>IF(A957="","",TEXT(A957,"mmm yyyy"))</f>
        <v/>
      </c>
      <c r="C957" s="62" t="n"/>
      <c r="D957" s="62" t="n"/>
      <c r="E957" s="62" t="n"/>
      <c r="F957" s="62" t="n"/>
      <c r="G957" s="63" t="n"/>
      <c r="H957" s="62" t="n"/>
      <c r="K957">
        <f>IF($C957="","",IF(COUNTIF($C$3:$C957,$C957)=1,$C957,""))</f>
        <v/>
      </c>
      <c r="L957">
        <f>IF($K957="","",$M957+ROW()/10000000)</f>
        <v/>
      </c>
      <c r="M957">
        <f>IF($K957="","",SUMIF($C$3:$C$1002,$K957,$G$3:$G$1002))</f>
        <v/>
      </c>
      <c r="N957">
        <f>IF($K957="","",COUNTIF($C$3:$C$1002,$K957))</f>
        <v/>
      </c>
      <c r="P957">
        <f>IF($A957="","",$A957*100000+ROW())</f>
        <v/>
      </c>
    </row>
    <row r="958" ht="18" customHeight="1">
      <c r="A958" s="60" t="n"/>
      <c r="B958" s="61">
        <f>IF(A958="","",TEXT(A958,"mmm yyyy"))</f>
        <v/>
      </c>
      <c r="C958" s="62" t="n"/>
      <c r="D958" s="62" t="n"/>
      <c r="E958" s="62" t="n"/>
      <c r="F958" s="62" t="n"/>
      <c r="G958" s="63" t="n"/>
      <c r="H958" s="62" t="n"/>
      <c r="K958">
        <f>IF($C958="","",IF(COUNTIF($C$3:$C958,$C958)=1,$C958,""))</f>
        <v/>
      </c>
      <c r="L958">
        <f>IF($K958="","",$M958+ROW()/10000000)</f>
        <v/>
      </c>
      <c r="M958">
        <f>IF($K958="","",SUMIF($C$3:$C$1002,$K958,$G$3:$G$1002))</f>
        <v/>
      </c>
      <c r="N958">
        <f>IF($K958="","",COUNTIF($C$3:$C$1002,$K958))</f>
        <v/>
      </c>
      <c r="P958">
        <f>IF($A958="","",$A958*100000+ROW())</f>
        <v/>
      </c>
    </row>
    <row r="959" ht="18" customHeight="1">
      <c r="A959" s="60" t="n"/>
      <c r="B959" s="61">
        <f>IF(A959="","",TEXT(A959,"mmm yyyy"))</f>
        <v/>
      </c>
      <c r="C959" s="62" t="n"/>
      <c r="D959" s="62" t="n"/>
      <c r="E959" s="62" t="n"/>
      <c r="F959" s="62" t="n"/>
      <c r="G959" s="63" t="n"/>
      <c r="H959" s="62" t="n"/>
      <c r="K959">
        <f>IF($C959="","",IF(COUNTIF($C$3:$C959,$C959)=1,$C959,""))</f>
        <v/>
      </c>
      <c r="L959">
        <f>IF($K959="","",$M959+ROW()/10000000)</f>
        <v/>
      </c>
      <c r="M959">
        <f>IF($K959="","",SUMIF($C$3:$C$1002,$K959,$G$3:$G$1002))</f>
        <v/>
      </c>
      <c r="N959">
        <f>IF($K959="","",COUNTIF($C$3:$C$1002,$K959))</f>
        <v/>
      </c>
      <c r="P959">
        <f>IF($A959="","",$A959*100000+ROW())</f>
        <v/>
      </c>
    </row>
    <row r="960" ht="18" customHeight="1">
      <c r="A960" s="60" t="n"/>
      <c r="B960" s="61">
        <f>IF(A960="","",TEXT(A960,"mmm yyyy"))</f>
        <v/>
      </c>
      <c r="C960" s="62" t="n"/>
      <c r="D960" s="62" t="n"/>
      <c r="E960" s="62" t="n"/>
      <c r="F960" s="62" t="n"/>
      <c r="G960" s="63" t="n"/>
      <c r="H960" s="62" t="n"/>
      <c r="K960">
        <f>IF($C960="","",IF(COUNTIF($C$3:$C960,$C960)=1,$C960,""))</f>
        <v/>
      </c>
      <c r="L960">
        <f>IF($K960="","",$M960+ROW()/10000000)</f>
        <v/>
      </c>
      <c r="M960">
        <f>IF($K960="","",SUMIF($C$3:$C$1002,$K960,$G$3:$G$1002))</f>
        <v/>
      </c>
      <c r="N960">
        <f>IF($K960="","",COUNTIF($C$3:$C$1002,$K960))</f>
        <v/>
      </c>
      <c r="P960">
        <f>IF($A960="","",$A960*100000+ROW())</f>
        <v/>
      </c>
    </row>
    <row r="961" ht="18" customHeight="1">
      <c r="A961" s="60" t="n"/>
      <c r="B961" s="61">
        <f>IF(A961="","",TEXT(A961,"mmm yyyy"))</f>
        <v/>
      </c>
      <c r="C961" s="62" t="n"/>
      <c r="D961" s="62" t="n"/>
      <c r="E961" s="62" t="n"/>
      <c r="F961" s="62" t="n"/>
      <c r="G961" s="63" t="n"/>
      <c r="H961" s="62" t="n"/>
      <c r="K961">
        <f>IF($C961="","",IF(COUNTIF($C$3:$C961,$C961)=1,$C961,""))</f>
        <v/>
      </c>
      <c r="L961">
        <f>IF($K961="","",$M961+ROW()/10000000)</f>
        <v/>
      </c>
      <c r="M961">
        <f>IF($K961="","",SUMIF($C$3:$C$1002,$K961,$G$3:$G$1002))</f>
        <v/>
      </c>
      <c r="N961">
        <f>IF($K961="","",COUNTIF($C$3:$C$1002,$K961))</f>
        <v/>
      </c>
      <c r="P961">
        <f>IF($A961="","",$A961*100000+ROW())</f>
        <v/>
      </c>
    </row>
    <row r="962" ht="18" customHeight="1">
      <c r="A962" s="60" t="n"/>
      <c r="B962" s="61">
        <f>IF(A962="","",TEXT(A962,"mmm yyyy"))</f>
        <v/>
      </c>
      <c r="C962" s="62" t="n"/>
      <c r="D962" s="62" t="n"/>
      <c r="E962" s="62" t="n"/>
      <c r="F962" s="62" t="n"/>
      <c r="G962" s="63" t="n"/>
      <c r="H962" s="62" t="n"/>
      <c r="K962">
        <f>IF($C962="","",IF(COUNTIF($C$3:$C962,$C962)=1,$C962,""))</f>
        <v/>
      </c>
      <c r="L962">
        <f>IF($K962="","",$M962+ROW()/10000000)</f>
        <v/>
      </c>
      <c r="M962">
        <f>IF($K962="","",SUMIF($C$3:$C$1002,$K962,$G$3:$G$1002))</f>
        <v/>
      </c>
      <c r="N962">
        <f>IF($K962="","",COUNTIF($C$3:$C$1002,$K962))</f>
        <v/>
      </c>
      <c r="P962">
        <f>IF($A962="","",$A962*100000+ROW())</f>
        <v/>
      </c>
    </row>
    <row r="963" ht="18" customHeight="1">
      <c r="A963" s="60" t="n"/>
      <c r="B963" s="61">
        <f>IF(A963="","",TEXT(A963,"mmm yyyy"))</f>
        <v/>
      </c>
      <c r="C963" s="62" t="n"/>
      <c r="D963" s="62" t="n"/>
      <c r="E963" s="62" t="n"/>
      <c r="F963" s="62" t="n"/>
      <c r="G963" s="63" t="n"/>
      <c r="H963" s="62" t="n"/>
      <c r="K963">
        <f>IF($C963="","",IF(COUNTIF($C$3:$C963,$C963)=1,$C963,""))</f>
        <v/>
      </c>
      <c r="L963">
        <f>IF($K963="","",$M963+ROW()/10000000)</f>
        <v/>
      </c>
      <c r="M963">
        <f>IF($K963="","",SUMIF($C$3:$C$1002,$K963,$G$3:$G$1002))</f>
        <v/>
      </c>
      <c r="N963">
        <f>IF($K963="","",COUNTIF($C$3:$C$1002,$K963))</f>
        <v/>
      </c>
      <c r="P963">
        <f>IF($A963="","",$A963*100000+ROW())</f>
        <v/>
      </c>
    </row>
    <row r="964" ht="18" customHeight="1">
      <c r="A964" s="60" t="n"/>
      <c r="B964" s="61">
        <f>IF(A964="","",TEXT(A964,"mmm yyyy"))</f>
        <v/>
      </c>
      <c r="C964" s="62" t="n"/>
      <c r="D964" s="62" t="n"/>
      <c r="E964" s="62" t="n"/>
      <c r="F964" s="62" t="n"/>
      <c r="G964" s="63" t="n"/>
      <c r="H964" s="62" t="n"/>
      <c r="K964">
        <f>IF($C964="","",IF(COUNTIF($C$3:$C964,$C964)=1,$C964,""))</f>
        <v/>
      </c>
      <c r="L964">
        <f>IF($K964="","",$M964+ROW()/10000000)</f>
        <v/>
      </c>
      <c r="M964">
        <f>IF($K964="","",SUMIF($C$3:$C$1002,$K964,$G$3:$G$1002))</f>
        <v/>
      </c>
      <c r="N964">
        <f>IF($K964="","",COUNTIF($C$3:$C$1002,$K964))</f>
        <v/>
      </c>
      <c r="P964">
        <f>IF($A964="","",$A964*100000+ROW())</f>
        <v/>
      </c>
    </row>
    <row r="965" ht="18" customHeight="1">
      <c r="A965" s="60" t="n"/>
      <c r="B965" s="61">
        <f>IF(A965="","",TEXT(A965,"mmm yyyy"))</f>
        <v/>
      </c>
      <c r="C965" s="62" t="n"/>
      <c r="D965" s="62" t="n"/>
      <c r="E965" s="62" t="n"/>
      <c r="F965" s="62" t="n"/>
      <c r="G965" s="63" t="n"/>
      <c r="H965" s="62" t="n"/>
      <c r="K965">
        <f>IF($C965="","",IF(COUNTIF($C$3:$C965,$C965)=1,$C965,""))</f>
        <v/>
      </c>
      <c r="L965">
        <f>IF($K965="","",$M965+ROW()/10000000)</f>
        <v/>
      </c>
      <c r="M965">
        <f>IF($K965="","",SUMIF($C$3:$C$1002,$K965,$G$3:$G$1002))</f>
        <v/>
      </c>
      <c r="N965">
        <f>IF($K965="","",COUNTIF($C$3:$C$1002,$K965))</f>
        <v/>
      </c>
      <c r="P965">
        <f>IF($A965="","",$A965*100000+ROW())</f>
        <v/>
      </c>
    </row>
    <row r="966" ht="18" customHeight="1">
      <c r="A966" s="60" t="n"/>
      <c r="B966" s="61">
        <f>IF(A966="","",TEXT(A966,"mmm yyyy"))</f>
        <v/>
      </c>
      <c r="C966" s="62" t="n"/>
      <c r="D966" s="62" t="n"/>
      <c r="E966" s="62" t="n"/>
      <c r="F966" s="62" t="n"/>
      <c r="G966" s="63" t="n"/>
      <c r="H966" s="62" t="n"/>
      <c r="K966">
        <f>IF($C966="","",IF(COUNTIF($C$3:$C966,$C966)=1,$C966,""))</f>
        <v/>
      </c>
      <c r="L966">
        <f>IF($K966="","",$M966+ROW()/10000000)</f>
        <v/>
      </c>
      <c r="M966">
        <f>IF($K966="","",SUMIF($C$3:$C$1002,$K966,$G$3:$G$1002))</f>
        <v/>
      </c>
      <c r="N966">
        <f>IF($K966="","",COUNTIF($C$3:$C$1002,$K966))</f>
        <v/>
      </c>
      <c r="P966">
        <f>IF($A966="","",$A966*100000+ROW())</f>
        <v/>
      </c>
    </row>
    <row r="967" ht="18" customHeight="1">
      <c r="A967" s="60" t="n"/>
      <c r="B967" s="61">
        <f>IF(A967="","",TEXT(A967,"mmm yyyy"))</f>
        <v/>
      </c>
      <c r="C967" s="62" t="n"/>
      <c r="D967" s="62" t="n"/>
      <c r="E967" s="62" t="n"/>
      <c r="F967" s="62" t="n"/>
      <c r="G967" s="63" t="n"/>
      <c r="H967" s="62" t="n"/>
      <c r="K967">
        <f>IF($C967="","",IF(COUNTIF($C$3:$C967,$C967)=1,$C967,""))</f>
        <v/>
      </c>
      <c r="L967">
        <f>IF($K967="","",$M967+ROW()/10000000)</f>
        <v/>
      </c>
      <c r="M967">
        <f>IF($K967="","",SUMIF($C$3:$C$1002,$K967,$G$3:$G$1002))</f>
        <v/>
      </c>
      <c r="N967">
        <f>IF($K967="","",COUNTIF($C$3:$C$1002,$K967))</f>
        <v/>
      </c>
      <c r="P967">
        <f>IF($A967="","",$A967*100000+ROW())</f>
        <v/>
      </c>
    </row>
    <row r="968" ht="18" customHeight="1">
      <c r="A968" s="60" t="n"/>
      <c r="B968" s="61">
        <f>IF(A968="","",TEXT(A968,"mmm yyyy"))</f>
        <v/>
      </c>
      <c r="C968" s="62" t="n"/>
      <c r="D968" s="62" t="n"/>
      <c r="E968" s="62" t="n"/>
      <c r="F968" s="62" t="n"/>
      <c r="G968" s="63" t="n"/>
      <c r="H968" s="62" t="n"/>
      <c r="K968">
        <f>IF($C968="","",IF(COUNTIF($C$3:$C968,$C968)=1,$C968,""))</f>
        <v/>
      </c>
      <c r="L968">
        <f>IF($K968="","",$M968+ROW()/10000000)</f>
        <v/>
      </c>
      <c r="M968">
        <f>IF($K968="","",SUMIF($C$3:$C$1002,$K968,$G$3:$G$1002))</f>
        <v/>
      </c>
      <c r="N968">
        <f>IF($K968="","",COUNTIF($C$3:$C$1002,$K968))</f>
        <v/>
      </c>
      <c r="P968">
        <f>IF($A968="","",$A968*100000+ROW())</f>
        <v/>
      </c>
    </row>
    <row r="969" ht="18" customHeight="1">
      <c r="A969" s="60" t="n"/>
      <c r="B969" s="61">
        <f>IF(A969="","",TEXT(A969,"mmm yyyy"))</f>
        <v/>
      </c>
      <c r="C969" s="62" t="n"/>
      <c r="D969" s="62" t="n"/>
      <c r="E969" s="62" t="n"/>
      <c r="F969" s="62" t="n"/>
      <c r="G969" s="63" t="n"/>
      <c r="H969" s="62" t="n"/>
      <c r="K969">
        <f>IF($C969="","",IF(COUNTIF($C$3:$C969,$C969)=1,$C969,""))</f>
        <v/>
      </c>
      <c r="L969">
        <f>IF($K969="","",$M969+ROW()/10000000)</f>
        <v/>
      </c>
      <c r="M969">
        <f>IF($K969="","",SUMIF($C$3:$C$1002,$K969,$G$3:$G$1002))</f>
        <v/>
      </c>
      <c r="N969">
        <f>IF($K969="","",COUNTIF($C$3:$C$1002,$K969))</f>
        <v/>
      </c>
      <c r="P969">
        <f>IF($A969="","",$A969*100000+ROW())</f>
        <v/>
      </c>
    </row>
    <row r="970" ht="18" customHeight="1">
      <c r="A970" s="60" t="n"/>
      <c r="B970" s="61">
        <f>IF(A970="","",TEXT(A970,"mmm yyyy"))</f>
        <v/>
      </c>
      <c r="C970" s="62" t="n"/>
      <c r="D970" s="62" t="n"/>
      <c r="E970" s="62" t="n"/>
      <c r="F970" s="62" t="n"/>
      <c r="G970" s="63" t="n"/>
      <c r="H970" s="62" t="n"/>
      <c r="K970">
        <f>IF($C970="","",IF(COUNTIF($C$3:$C970,$C970)=1,$C970,""))</f>
        <v/>
      </c>
      <c r="L970">
        <f>IF($K970="","",$M970+ROW()/10000000)</f>
        <v/>
      </c>
      <c r="M970">
        <f>IF($K970="","",SUMIF($C$3:$C$1002,$K970,$G$3:$G$1002))</f>
        <v/>
      </c>
      <c r="N970">
        <f>IF($K970="","",COUNTIF($C$3:$C$1002,$K970))</f>
        <v/>
      </c>
      <c r="P970">
        <f>IF($A970="","",$A970*100000+ROW())</f>
        <v/>
      </c>
    </row>
    <row r="971" ht="18" customHeight="1">
      <c r="A971" s="60" t="n"/>
      <c r="B971" s="61">
        <f>IF(A971="","",TEXT(A971,"mmm yyyy"))</f>
        <v/>
      </c>
      <c r="C971" s="62" t="n"/>
      <c r="D971" s="62" t="n"/>
      <c r="E971" s="62" t="n"/>
      <c r="F971" s="62" t="n"/>
      <c r="G971" s="63" t="n"/>
      <c r="H971" s="62" t="n"/>
      <c r="K971">
        <f>IF($C971="","",IF(COUNTIF($C$3:$C971,$C971)=1,$C971,""))</f>
        <v/>
      </c>
      <c r="L971">
        <f>IF($K971="","",$M971+ROW()/10000000)</f>
        <v/>
      </c>
      <c r="M971">
        <f>IF($K971="","",SUMIF($C$3:$C$1002,$K971,$G$3:$G$1002))</f>
        <v/>
      </c>
      <c r="N971">
        <f>IF($K971="","",COUNTIF($C$3:$C$1002,$K971))</f>
        <v/>
      </c>
      <c r="P971">
        <f>IF($A971="","",$A971*100000+ROW())</f>
        <v/>
      </c>
    </row>
    <row r="972" ht="18" customHeight="1">
      <c r="A972" s="60" t="n"/>
      <c r="B972" s="61">
        <f>IF(A972="","",TEXT(A972,"mmm yyyy"))</f>
        <v/>
      </c>
      <c r="C972" s="62" t="n"/>
      <c r="D972" s="62" t="n"/>
      <c r="E972" s="62" t="n"/>
      <c r="F972" s="62" t="n"/>
      <c r="G972" s="63" t="n"/>
      <c r="H972" s="62" t="n"/>
      <c r="K972">
        <f>IF($C972="","",IF(COUNTIF($C$3:$C972,$C972)=1,$C972,""))</f>
        <v/>
      </c>
      <c r="L972">
        <f>IF($K972="","",$M972+ROW()/10000000)</f>
        <v/>
      </c>
      <c r="M972">
        <f>IF($K972="","",SUMIF($C$3:$C$1002,$K972,$G$3:$G$1002))</f>
        <v/>
      </c>
      <c r="N972">
        <f>IF($K972="","",COUNTIF($C$3:$C$1002,$K972))</f>
        <v/>
      </c>
      <c r="P972">
        <f>IF($A972="","",$A972*100000+ROW())</f>
        <v/>
      </c>
    </row>
    <row r="973" ht="18" customHeight="1">
      <c r="A973" s="60" t="n"/>
      <c r="B973" s="61">
        <f>IF(A973="","",TEXT(A973,"mmm yyyy"))</f>
        <v/>
      </c>
      <c r="C973" s="62" t="n"/>
      <c r="D973" s="62" t="n"/>
      <c r="E973" s="62" t="n"/>
      <c r="F973" s="62" t="n"/>
      <c r="G973" s="63" t="n"/>
      <c r="H973" s="62" t="n"/>
      <c r="K973">
        <f>IF($C973="","",IF(COUNTIF($C$3:$C973,$C973)=1,$C973,""))</f>
        <v/>
      </c>
      <c r="L973">
        <f>IF($K973="","",$M973+ROW()/10000000)</f>
        <v/>
      </c>
      <c r="M973">
        <f>IF($K973="","",SUMIF($C$3:$C$1002,$K973,$G$3:$G$1002))</f>
        <v/>
      </c>
      <c r="N973">
        <f>IF($K973="","",COUNTIF($C$3:$C$1002,$K973))</f>
        <v/>
      </c>
      <c r="P973">
        <f>IF($A973="","",$A973*100000+ROW())</f>
        <v/>
      </c>
    </row>
    <row r="974" ht="18" customHeight="1">
      <c r="A974" s="60" t="n"/>
      <c r="B974" s="61">
        <f>IF(A974="","",TEXT(A974,"mmm yyyy"))</f>
        <v/>
      </c>
      <c r="C974" s="62" t="n"/>
      <c r="D974" s="62" t="n"/>
      <c r="E974" s="62" t="n"/>
      <c r="F974" s="62" t="n"/>
      <c r="G974" s="63" t="n"/>
      <c r="H974" s="62" t="n"/>
      <c r="K974">
        <f>IF($C974="","",IF(COUNTIF($C$3:$C974,$C974)=1,$C974,""))</f>
        <v/>
      </c>
      <c r="L974">
        <f>IF($K974="","",$M974+ROW()/10000000)</f>
        <v/>
      </c>
      <c r="M974">
        <f>IF($K974="","",SUMIF($C$3:$C$1002,$K974,$G$3:$G$1002))</f>
        <v/>
      </c>
      <c r="N974">
        <f>IF($K974="","",COUNTIF($C$3:$C$1002,$K974))</f>
        <v/>
      </c>
      <c r="P974">
        <f>IF($A974="","",$A974*100000+ROW())</f>
        <v/>
      </c>
    </row>
    <row r="975" ht="18" customHeight="1">
      <c r="A975" s="60" t="n"/>
      <c r="B975" s="61">
        <f>IF(A975="","",TEXT(A975,"mmm yyyy"))</f>
        <v/>
      </c>
      <c r="C975" s="62" t="n"/>
      <c r="D975" s="62" t="n"/>
      <c r="E975" s="62" t="n"/>
      <c r="F975" s="62" t="n"/>
      <c r="G975" s="63" t="n"/>
      <c r="H975" s="62" t="n"/>
      <c r="K975">
        <f>IF($C975="","",IF(COUNTIF($C$3:$C975,$C975)=1,$C975,""))</f>
        <v/>
      </c>
      <c r="L975">
        <f>IF($K975="","",$M975+ROW()/10000000)</f>
        <v/>
      </c>
      <c r="M975">
        <f>IF($K975="","",SUMIF($C$3:$C$1002,$K975,$G$3:$G$1002))</f>
        <v/>
      </c>
      <c r="N975">
        <f>IF($K975="","",COUNTIF($C$3:$C$1002,$K975))</f>
        <v/>
      </c>
      <c r="P975">
        <f>IF($A975="","",$A975*100000+ROW())</f>
        <v/>
      </c>
    </row>
    <row r="976" ht="18" customHeight="1">
      <c r="A976" s="60" t="n"/>
      <c r="B976" s="61">
        <f>IF(A976="","",TEXT(A976,"mmm yyyy"))</f>
        <v/>
      </c>
      <c r="C976" s="62" t="n"/>
      <c r="D976" s="62" t="n"/>
      <c r="E976" s="62" t="n"/>
      <c r="F976" s="62" t="n"/>
      <c r="G976" s="63" t="n"/>
      <c r="H976" s="62" t="n"/>
      <c r="K976">
        <f>IF($C976="","",IF(COUNTIF($C$3:$C976,$C976)=1,$C976,""))</f>
        <v/>
      </c>
      <c r="L976">
        <f>IF($K976="","",$M976+ROW()/10000000)</f>
        <v/>
      </c>
      <c r="M976">
        <f>IF($K976="","",SUMIF($C$3:$C$1002,$K976,$G$3:$G$1002))</f>
        <v/>
      </c>
      <c r="N976">
        <f>IF($K976="","",COUNTIF($C$3:$C$1002,$K976))</f>
        <v/>
      </c>
      <c r="P976">
        <f>IF($A976="","",$A976*100000+ROW())</f>
        <v/>
      </c>
    </row>
    <row r="977" ht="18" customHeight="1">
      <c r="A977" s="60" t="n"/>
      <c r="B977" s="61">
        <f>IF(A977="","",TEXT(A977,"mmm yyyy"))</f>
        <v/>
      </c>
      <c r="C977" s="62" t="n"/>
      <c r="D977" s="62" t="n"/>
      <c r="E977" s="62" t="n"/>
      <c r="F977" s="62" t="n"/>
      <c r="G977" s="63" t="n"/>
      <c r="H977" s="62" t="n"/>
      <c r="K977">
        <f>IF($C977="","",IF(COUNTIF($C$3:$C977,$C977)=1,$C977,""))</f>
        <v/>
      </c>
      <c r="L977">
        <f>IF($K977="","",$M977+ROW()/10000000)</f>
        <v/>
      </c>
      <c r="M977">
        <f>IF($K977="","",SUMIF($C$3:$C$1002,$K977,$G$3:$G$1002))</f>
        <v/>
      </c>
      <c r="N977">
        <f>IF($K977="","",COUNTIF($C$3:$C$1002,$K977))</f>
        <v/>
      </c>
      <c r="P977">
        <f>IF($A977="","",$A977*100000+ROW())</f>
        <v/>
      </c>
    </row>
    <row r="978" ht="18" customHeight="1">
      <c r="A978" s="60" t="n"/>
      <c r="B978" s="61">
        <f>IF(A978="","",TEXT(A978,"mmm yyyy"))</f>
        <v/>
      </c>
      <c r="C978" s="62" t="n"/>
      <c r="D978" s="62" t="n"/>
      <c r="E978" s="62" t="n"/>
      <c r="F978" s="62" t="n"/>
      <c r="G978" s="63" t="n"/>
      <c r="H978" s="62" t="n"/>
      <c r="K978">
        <f>IF($C978="","",IF(COUNTIF($C$3:$C978,$C978)=1,$C978,""))</f>
        <v/>
      </c>
      <c r="L978">
        <f>IF($K978="","",$M978+ROW()/10000000)</f>
        <v/>
      </c>
      <c r="M978">
        <f>IF($K978="","",SUMIF($C$3:$C$1002,$K978,$G$3:$G$1002))</f>
        <v/>
      </c>
      <c r="N978">
        <f>IF($K978="","",COUNTIF($C$3:$C$1002,$K978))</f>
        <v/>
      </c>
      <c r="P978">
        <f>IF($A978="","",$A978*100000+ROW())</f>
        <v/>
      </c>
    </row>
    <row r="979" ht="18" customHeight="1">
      <c r="A979" s="60" t="n"/>
      <c r="B979" s="61">
        <f>IF(A979="","",TEXT(A979,"mmm yyyy"))</f>
        <v/>
      </c>
      <c r="C979" s="62" t="n"/>
      <c r="D979" s="62" t="n"/>
      <c r="E979" s="62" t="n"/>
      <c r="F979" s="62" t="n"/>
      <c r="G979" s="63" t="n"/>
      <c r="H979" s="62" t="n"/>
      <c r="K979">
        <f>IF($C979="","",IF(COUNTIF($C$3:$C979,$C979)=1,$C979,""))</f>
        <v/>
      </c>
      <c r="L979">
        <f>IF($K979="","",$M979+ROW()/10000000)</f>
        <v/>
      </c>
      <c r="M979">
        <f>IF($K979="","",SUMIF($C$3:$C$1002,$K979,$G$3:$G$1002))</f>
        <v/>
      </c>
      <c r="N979">
        <f>IF($K979="","",COUNTIF($C$3:$C$1002,$K979))</f>
        <v/>
      </c>
      <c r="P979">
        <f>IF($A979="","",$A979*100000+ROW())</f>
        <v/>
      </c>
    </row>
    <row r="980" ht="18" customHeight="1">
      <c r="A980" s="60" t="n"/>
      <c r="B980" s="61">
        <f>IF(A980="","",TEXT(A980,"mmm yyyy"))</f>
        <v/>
      </c>
      <c r="C980" s="62" t="n"/>
      <c r="D980" s="62" t="n"/>
      <c r="E980" s="62" t="n"/>
      <c r="F980" s="62" t="n"/>
      <c r="G980" s="63" t="n"/>
      <c r="H980" s="62" t="n"/>
      <c r="K980">
        <f>IF($C980="","",IF(COUNTIF($C$3:$C980,$C980)=1,$C980,""))</f>
        <v/>
      </c>
      <c r="L980">
        <f>IF($K980="","",$M980+ROW()/10000000)</f>
        <v/>
      </c>
      <c r="M980">
        <f>IF($K980="","",SUMIF($C$3:$C$1002,$K980,$G$3:$G$1002))</f>
        <v/>
      </c>
      <c r="N980">
        <f>IF($K980="","",COUNTIF($C$3:$C$1002,$K980))</f>
        <v/>
      </c>
      <c r="P980">
        <f>IF($A980="","",$A980*100000+ROW())</f>
        <v/>
      </c>
    </row>
    <row r="981" ht="18" customHeight="1">
      <c r="A981" s="60" t="n"/>
      <c r="B981" s="61">
        <f>IF(A981="","",TEXT(A981,"mmm yyyy"))</f>
        <v/>
      </c>
      <c r="C981" s="62" t="n"/>
      <c r="D981" s="62" t="n"/>
      <c r="E981" s="62" t="n"/>
      <c r="F981" s="62" t="n"/>
      <c r="G981" s="63" t="n"/>
      <c r="H981" s="62" t="n"/>
      <c r="K981">
        <f>IF($C981="","",IF(COUNTIF($C$3:$C981,$C981)=1,$C981,""))</f>
        <v/>
      </c>
      <c r="L981">
        <f>IF($K981="","",$M981+ROW()/10000000)</f>
        <v/>
      </c>
      <c r="M981">
        <f>IF($K981="","",SUMIF($C$3:$C$1002,$K981,$G$3:$G$1002))</f>
        <v/>
      </c>
      <c r="N981">
        <f>IF($K981="","",COUNTIF($C$3:$C$1002,$K981))</f>
        <v/>
      </c>
      <c r="P981">
        <f>IF($A981="","",$A981*100000+ROW())</f>
        <v/>
      </c>
    </row>
    <row r="982" ht="18" customHeight="1">
      <c r="A982" s="60" t="n"/>
      <c r="B982" s="61">
        <f>IF(A982="","",TEXT(A982,"mmm yyyy"))</f>
        <v/>
      </c>
      <c r="C982" s="62" t="n"/>
      <c r="D982" s="62" t="n"/>
      <c r="E982" s="62" t="n"/>
      <c r="F982" s="62" t="n"/>
      <c r="G982" s="63" t="n"/>
      <c r="H982" s="62" t="n"/>
      <c r="K982">
        <f>IF($C982="","",IF(COUNTIF($C$3:$C982,$C982)=1,$C982,""))</f>
        <v/>
      </c>
      <c r="L982">
        <f>IF($K982="","",$M982+ROW()/10000000)</f>
        <v/>
      </c>
      <c r="M982">
        <f>IF($K982="","",SUMIF($C$3:$C$1002,$K982,$G$3:$G$1002))</f>
        <v/>
      </c>
      <c r="N982">
        <f>IF($K982="","",COUNTIF($C$3:$C$1002,$K982))</f>
        <v/>
      </c>
      <c r="P982">
        <f>IF($A982="","",$A982*100000+ROW())</f>
        <v/>
      </c>
    </row>
    <row r="983" ht="18" customHeight="1">
      <c r="A983" s="60" t="n"/>
      <c r="B983" s="61">
        <f>IF(A983="","",TEXT(A983,"mmm yyyy"))</f>
        <v/>
      </c>
      <c r="C983" s="62" t="n"/>
      <c r="D983" s="62" t="n"/>
      <c r="E983" s="62" t="n"/>
      <c r="F983" s="62" t="n"/>
      <c r="G983" s="63" t="n"/>
      <c r="H983" s="62" t="n"/>
      <c r="K983">
        <f>IF($C983="","",IF(COUNTIF($C$3:$C983,$C983)=1,$C983,""))</f>
        <v/>
      </c>
      <c r="L983">
        <f>IF($K983="","",$M983+ROW()/10000000)</f>
        <v/>
      </c>
      <c r="M983">
        <f>IF($K983="","",SUMIF($C$3:$C$1002,$K983,$G$3:$G$1002))</f>
        <v/>
      </c>
      <c r="N983">
        <f>IF($K983="","",COUNTIF($C$3:$C$1002,$K983))</f>
        <v/>
      </c>
      <c r="P983">
        <f>IF($A983="","",$A983*100000+ROW())</f>
        <v/>
      </c>
    </row>
    <row r="984" ht="18" customHeight="1">
      <c r="A984" s="60" t="n"/>
      <c r="B984" s="61">
        <f>IF(A984="","",TEXT(A984,"mmm yyyy"))</f>
        <v/>
      </c>
      <c r="C984" s="62" t="n"/>
      <c r="D984" s="62" t="n"/>
      <c r="E984" s="62" t="n"/>
      <c r="F984" s="62" t="n"/>
      <c r="G984" s="63" t="n"/>
      <c r="H984" s="62" t="n"/>
      <c r="K984">
        <f>IF($C984="","",IF(COUNTIF($C$3:$C984,$C984)=1,$C984,""))</f>
        <v/>
      </c>
      <c r="L984">
        <f>IF($K984="","",$M984+ROW()/10000000)</f>
        <v/>
      </c>
      <c r="M984">
        <f>IF($K984="","",SUMIF($C$3:$C$1002,$K984,$G$3:$G$1002))</f>
        <v/>
      </c>
      <c r="N984">
        <f>IF($K984="","",COUNTIF($C$3:$C$1002,$K984))</f>
        <v/>
      </c>
      <c r="P984">
        <f>IF($A984="","",$A984*100000+ROW())</f>
        <v/>
      </c>
    </row>
    <row r="985" ht="18" customHeight="1">
      <c r="A985" s="60" t="n"/>
      <c r="B985" s="61">
        <f>IF(A985="","",TEXT(A985,"mmm yyyy"))</f>
        <v/>
      </c>
      <c r="C985" s="62" t="n"/>
      <c r="D985" s="62" t="n"/>
      <c r="E985" s="62" t="n"/>
      <c r="F985" s="62" t="n"/>
      <c r="G985" s="63" t="n"/>
      <c r="H985" s="62" t="n"/>
      <c r="K985">
        <f>IF($C985="","",IF(COUNTIF($C$3:$C985,$C985)=1,$C985,""))</f>
        <v/>
      </c>
      <c r="L985">
        <f>IF($K985="","",$M985+ROW()/10000000)</f>
        <v/>
      </c>
      <c r="M985">
        <f>IF($K985="","",SUMIF($C$3:$C$1002,$K985,$G$3:$G$1002))</f>
        <v/>
      </c>
      <c r="N985">
        <f>IF($K985="","",COUNTIF($C$3:$C$1002,$K985))</f>
        <v/>
      </c>
      <c r="P985">
        <f>IF($A985="","",$A985*100000+ROW())</f>
        <v/>
      </c>
    </row>
    <row r="986" ht="18" customHeight="1">
      <c r="A986" s="60" t="n"/>
      <c r="B986" s="61">
        <f>IF(A986="","",TEXT(A986,"mmm yyyy"))</f>
        <v/>
      </c>
      <c r="C986" s="62" t="n"/>
      <c r="D986" s="62" t="n"/>
      <c r="E986" s="62" t="n"/>
      <c r="F986" s="62" t="n"/>
      <c r="G986" s="63" t="n"/>
      <c r="H986" s="62" t="n"/>
      <c r="K986">
        <f>IF($C986="","",IF(COUNTIF($C$3:$C986,$C986)=1,$C986,""))</f>
        <v/>
      </c>
      <c r="L986">
        <f>IF($K986="","",$M986+ROW()/10000000)</f>
        <v/>
      </c>
      <c r="M986">
        <f>IF($K986="","",SUMIF($C$3:$C$1002,$K986,$G$3:$G$1002))</f>
        <v/>
      </c>
      <c r="N986">
        <f>IF($K986="","",COUNTIF($C$3:$C$1002,$K986))</f>
        <v/>
      </c>
      <c r="P986">
        <f>IF($A986="","",$A986*100000+ROW())</f>
        <v/>
      </c>
    </row>
    <row r="987" ht="18" customHeight="1">
      <c r="A987" s="60" t="n"/>
      <c r="B987" s="61">
        <f>IF(A987="","",TEXT(A987,"mmm yyyy"))</f>
        <v/>
      </c>
      <c r="C987" s="62" t="n"/>
      <c r="D987" s="62" t="n"/>
      <c r="E987" s="62" t="n"/>
      <c r="F987" s="62" t="n"/>
      <c r="G987" s="63" t="n"/>
      <c r="H987" s="62" t="n"/>
      <c r="K987">
        <f>IF($C987="","",IF(COUNTIF($C$3:$C987,$C987)=1,$C987,""))</f>
        <v/>
      </c>
      <c r="L987">
        <f>IF($K987="","",$M987+ROW()/10000000)</f>
        <v/>
      </c>
      <c r="M987">
        <f>IF($K987="","",SUMIF($C$3:$C$1002,$K987,$G$3:$G$1002))</f>
        <v/>
      </c>
      <c r="N987">
        <f>IF($K987="","",COUNTIF($C$3:$C$1002,$K987))</f>
        <v/>
      </c>
      <c r="P987">
        <f>IF($A987="","",$A987*100000+ROW())</f>
        <v/>
      </c>
    </row>
    <row r="988" ht="18" customHeight="1">
      <c r="A988" s="60" t="n"/>
      <c r="B988" s="61">
        <f>IF(A988="","",TEXT(A988,"mmm yyyy"))</f>
        <v/>
      </c>
      <c r="C988" s="62" t="n"/>
      <c r="D988" s="62" t="n"/>
      <c r="E988" s="62" t="n"/>
      <c r="F988" s="62" t="n"/>
      <c r="G988" s="63" t="n"/>
      <c r="H988" s="62" t="n"/>
      <c r="K988">
        <f>IF($C988="","",IF(COUNTIF($C$3:$C988,$C988)=1,$C988,""))</f>
        <v/>
      </c>
      <c r="L988">
        <f>IF($K988="","",$M988+ROW()/10000000)</f>
        <v/>
      </c>
      <c r="M988">
        <f>IF($K988="","",SUMIF($C$3:$C$1002,$K988,$G$3:$G$1002))</f>
        <v/>
      </c>
      <c r="N988">
        <f>IF($K988="","",COUNTIF($C$3:$C$1002,$K988))</f>
        <v/>
      </c>
      <c r="P988">
        <f>IF($A988="","",$A988*100000+ROW())</f>
        <v/>
      </c>
    </row>
    <row r="989" ht="18" customHeight="1">
      <c r="A989" s="60" t="n"/>
      <c r="B989" s="61">
        <f>IF(A989="","",TEXT(A989,"mmm yyyy"))</f>
        <v/>
      </c>
      <c r="C989" s="62" t="n"/>
      <c r="D989" s="62" t="n"/>
      <c r="E989" s="62" t="n"/>
      <c r="F989" s="62" t="n"/>
      <c r="G989" s="63" t="n"/>
      <c r="H989" s="62" t="n"/>
      <c r="K989">
        <f>IF($C989="","",IF(COUNTIF($C$3:$C989,$C989)=1,$C989,""))</f>
        <v/>
      </c>
      <c r="L989">
        <f>IF($K989="","",$M989+ROW()/10000000)</f>
        <v/>
      </c>
      <c r="M989">
        <f>IF($K989="","",SUMIF($C$3:$C$1002,$K989,$G$3:$G$1002))</f>
        <v/>
      </c>
      <c r="N989">
        <f>IF($K989="","",COUNTIF($C$3:$C$1002,$K989))</f>
        <v/>
      </c>
      <c r="P989">
        <f>IF($A989="","",$A989*100000+ROW())</f>
        <v/>
      </c>
    </row>
    <row r="990" ht="18" customHeight="1">
      <c r="A990" s="60" t="n"/>
      <c r="B990" s="61">
        <f>IF(A990="","",TEXT(A990,"mmm yyyy"))</f>
        <v/>
      </c>
      <c r="C990" s="62" t="n"/>
      <c r="D990" s="62" t="n"/>
      <c r="E990" s="62" t="n"/>
      <c r="F990" s="62" t="n"/>
      <c r="G990" s="63" t="n"/>
      <c r="H990" s="62" t="n"/>
      <c r="K990">
        <f>IF($C990="","",IF(COUNTIF($C$3:$C990,$C990)=1,$C990,""))</f>
        <v/>
      </c>
      <c r="L990">
        <f>IF($K990="","",$M990+ROW()/10000000)</f>
        <v/>
      </c>
      <c r="M990">
        <f>IF($K990="","",SUMIF($C$3:$C$1002,$K990,$G$3:$G$1002))</f>
        <v/>
      </c>
      <c r="N990">
        <f>IF($K990="","",COUNTIF($C$3:$C$1002,$K990))</f>
        <v/>
      </c>
      <c r="P990">
        <f>IF($A990="","",$A990*100000+ROW())</f>
        <v/>
      </c>
    </row>
    <row r="991" ht="18" customHeight="1">
      <c r="A991" s="60" t="n"/>
      <c r="B991" s="61">
        <f>IF(A991="","",TEXT(A991,"mmm yyyy"))</f>
        <v/>
      </c>
      <c r="C991" s="62" t="n"/>
      <c r="D991" s="62" t="n"/>
      <c r="E991" s="62" t="n"/>
      <c r="F991" s="62" t="n"/>
      <c r="G991" s="63" t="n"/>
      <c r="H991" s="62" t="n"/>
      <c r="K991">
        <f>IF($C991="","",IF(COUNTIF($C$3:$C991,$C991)=1,$C991,""))</f>
        <v/>
      </c>
      <c r="L991">
        <f>IF($K991="","",$M991+ROW()/10000000)</f>
        <v/>
      </c>
      <c r="M991">
        <f>IF($K991="","",SUMIF($C$3:$C$1002,$K991,$G$3:$G$1002))</f>
        <v/>
      </c>
      <c r="N991">
        <f>IF($K991="","",COUNTIF($C$3:$C$1002,$K991))</f>
        <v/>
      </c>
      <c r="P991">
        <f>IF($A991="","",$A991*100000+ROW())</f>
        <v/>
      </c>
    </row>
    <row r="992" ht="18" customHeight="1">
      <c r="A992" s="60" t="n"/>
      <c r="B992" s="61">
        <f>IF(A992="","",TEXT(A992,"mmm yyyy"))</f>
        <v/>
      </c>
      <c r="C992" s="62" t="n"/>
      <c r="D992" s="62" t="n"/>
      <c r="E992" s="62" t="n"/>
      <c r="F992" s="62" t="n"/>
      <c r="G992" s="63" t="n"/>
      <c r="H992" s="62" t="n"/>
      <c r="K992">
        <f>IF($C992="","",IF(COUNTIF($C$3:$C992,$C992)=1,$C992,""))</f>
        <v/>
      </c>
      <c r="L992">
        <f>IF($K992="","",$M992+ROW()/10000000)</f>
        <v/>
      </c>
      <c r="M992">
        <f>IF($K992="","",SUMIF($C$3:$C$1002,$K992,$G$3:$G$1002))</f>
        <v/>
      </c>
      <c r="N992">
        <f>IF($K992="","",COUNTIF($C$3:$C$1002,$K992))</f>
        <v/>
      </c>
      <c r="P992">
        <f>IF($A992="","",$A992*100000+ROW())</f>
        <v/>
      </c>
    </row>
    <row r="993" ht="18" customHeight="1">
      <c r="A993" s="60" t="n"/>
      <c r="B993" s="61">
        <f>IF(A993="","",TEXT(A993,"mmm yyyy"))</f>
        <v/>
      </c>
      <c r="C993" s="62" t="n"/>
      <c r="D993" s="62" t="n"/>
      <c r="E993" s="62" t="n"/>
      <c r="F993" s="62" t="n"/>
      <c r="G993" s="63" t="n"/>
      <c r="H993" s="62" t="n"/>
      <c r="K993">
        <f>IF($C993="","",IF(COUNTIF($C$3:$C993,$C993)=1,$C993,""))</f>
        <v/>
      </c>
      <c r="L993">
        <f>IF($K993="","",$M993+ROW()/10000000)</f>
        <v/>
      </c>
      <c r="M993">
        <f>IF($K993="","",SUMIF($C$3:$C$1002,$K993,$G$3:$G$1002))</f>
        <v/>
      </c>
      <c r="N993">
        <f>IF($K993="","",COUNTIF($C$3:$C$1002,$K993))</f>
        <v/>
      </c>
      <c r="P993">
        <f>IF($A993="","",$A993*100000+ROW())</f>
        <v/>
      </c>
    </row>
    <row r="994" ht="18" customHeight="1">
      <c r="A994" s="60" t="n"/>
      <c r="B994" s="61">
        <f>IF(A994="","",TEXT(A994,"mmm yyyy"))</f>
        <v/>
      </c>
      <c r="C994" s="62" t="n"/>
      <c r="D994" s="62" t="n"/>
      <c r="E994" s="62" t="n"/>
      <c r="F994" s="62" t="n"/>
      <c r="G994" s="63" t="n"/>
      <c r="H994" s="62" t="n"/>
      <c r="K994">
        <f>IF($C994="","",IF(COUNTIF($C$3:$C994,$C994)=1,$C994,""))</f>
        <v/>
      </c>
      <c r="L994">
        <f>IF($K994="","",$M994+ROW()/10000000)</f>
        <v/>
      </c>
      <c r="M994">
        <f>IF($K994="","",SUMIF($C$3:$C$1002,$K994,$G$3:$G$1002))</f>
        <v/>
      </c>
      <c r="N994">
        <f>IF($K994="","",COUNTIF($C$3:$C$1002,$K994))</f>
        <v/>
      </c>
      <c r="P994">
        <f>IF($A994="","",$A994*100000+ROW())</f>
        <v/>
      </c>
    </row>
    <row r="995" ht="18" customHeight="1">
      <c r="A995" s="60" t="n"/>
      <c r="B995" s="61">
        <f>IF(A995="","",TEXT(A995,"mmm yyyy"))</f>
        <v/>
      </c>
      <c r="C995" s="62" t="n"/>
      <c r="D995" s="62" t="n"/>
      <c r="E995" s="62" t="n"/>
      <c r="F995" s="62" t="n"/>
      <c r="G995" s="63" t="n"/>
      <c r="H995" s="62" t="n"/>
      <c r="K995">
        <f>IF($C995="","",IF(COUNTIF($C$3:$C995,$C995)=1,$C995,""))</f>
        <v/>
      </c>
      <c r="L995">
        <f>IF($K995="","",$M995+ROW()/10000000)</f>
        <v/>
      </c>
      <c r="M995">
        <f>IF($K995="","",SUMIF($C$3:$C$1002,$K995,$G$3:$G$1002))</f>
        <v/>
      </c>
      <c r="N995">
        <f>IF($K995="","",COUNTIF($C$3:$C$1002,$K995))</f>
        <v/>
      </c>
      <c r="P995">
        <f>IF($A995="","",$A995*100000+ROW())</f>
        <v/>
      </c>
    </row>
    <row r="996" ht="18" customHeight="1">
      <c r="A996" s="60" t="n"/>
      <c r="B996" s="61">
        <f>IF(A996="","",TEXT(A996,"mmm yyyy"))</f>
        <v/>
      </c>
      <c r="C996" s="62" t="n"/>
      <c r="D996" s="62" t="n"/>
      <c r="E996" s="62" t="n"/>
      <c r="F996" s="62" t="n"/>
      <c r="G996" s="63" t="n"/>
      <c r="H996" s="62" t="n"/>
      <c r="K996">
        <f>IF($C996="","",IF(COUNTIF($C$3:$C996,$C996)=1,$C996,""))</f>
        <v/>
      </c>
      <c r="L996">
        <f>IF($K996="","",$M996+ROW()/10000000)</f>
        <v/>
      </c>
      <c r="M996">
        <f>IF($K996="","",SUMIF($C$3:$C$1002,$K996,$G$3:$G$1002))</f>
        <v/>
      </c>
      <c r="N996">
        <f>IF($K996="","",COUNTIF($C$3:$C$1002,$K996))</f>
        <v/>
      </c>
      <c r="P996">
        <f>IF($A996="","",$A996*100000+ROW())</f>
        <v/>
      </c>
    </row>
    <row r="997" ht="18" customHeight="1">
      <c r="A997" s="60" t="n"/>
      <c r="B997" s="61">
        <f>IF(A997="","",TEXT(A997,"mmm yyyy"))</f>
        <v/>
      </c>
      <c r="C997" s="62" t="n"/>
      <c r="D997" s="62" t="n"/>
      <c r="E997" s="62" t="n"/>
      <c r="F997" s="62" t="n"/>
      <c r="G997" s="63" t="n"/>
      <c r="H997" s="62" t="n"/>
      <c r="K997">
        <f>IF($C997="","",IF(COUNTIF($C$3:$C997,$C997)=1,$C997,""))</f>
        <v/>
      </c>
      <c r="L997">
        <f>IF($K997="","",$M997+ROW()/10000000)</f>
        <v/>
      </c>
      <c r="M997">
        <f>IF($K997="","",SUMIF($C$3:$C$1002,$K997,$G$3:$G$1002))</f>
        <v/>
      </c>
      <c r="N997">
        <f>IF($K997="","",COUNTIF($C$3:$C$1002,$K997))</f>
        <v/>
      </c>
      <c r="P997">
        <f>IF($A997="","",$A997*100000+ROW())</f>
        <v/>
      </c>
    </row>
    <row r="998" ht="18" customHeight="1">
      <c r="A998" s="60" t="n"/>
      <c r="B998" s="61">
        <f>IF(A998="","",TEXT(A998,"mmm yyyy"))</f>
        <v/>
      </c>
      <c r="C998" s="62" t="n"/>
      <c r="D998" s="62" t="n"/>
      <c r="E998" s="62" t="n"/>
      <c r="F998" s="62" t="n"/>
      <c r="G998" s="63" t="n"/>
      <c r="H998" s="62" t="n"/>
      <c r="K998">
        <f>IF($C998="","",IF(COUNTIF($C$3:$C998,$C998)=1,$C998,""))</f>
        <v/>
      </c>
      <c r="L998">
        <f>IF($K998="","",$M998+ROW()/10000000)</f>
        <v/>
      </c>
      <c r="M998">
        <f>IF($K998="","",SUMIF($C$3:$C$1002,$K998,$G$3:$G$1002))</f>
        <v/>
      </c>
      <c r="N998">
        <f>IF($K998="","",COUNTIF($C$3:$C$1002,$K998))</f>
        <v/>
      </c>
      <c r="P998">
        <f>IF($A998="","",$A998*100000+ROW())</f>
        <v/>
      </c>
    </row>
    <row r="999" ht="18" customHeight="1">
      <c r="A999" s="60" t="n"/>
      <c r="B999" s="61">
        <f>IF(A999="","",TEXT(A999,"mmm yyyy"))</f>
        <v/>
      </c>
      <c r="C999" s="62" t="n"/>
      <c r="D999" s="62" t="n"/>
      <c r="E999" s="62" t="n"/>
      <c r="F999" s="62" t="n"/>
      <c r="G999" s="63" t="n"/>
      <c r="H999" s="62" t="n"/>
      <c r="K999">
        <f>IF($C999="","",IF(COUNTIF($C$3:$C999,$C999)=1,$C999,""))</f>
        <v/>
      </c>
      <c r="L999">
        <f>IF($K999="","",$M999+ROW()/10000000)</f>
        <v/>
      </c>
      <c r="M999">
        <f>IF($K999="","",SUMIF($C$3:$C$1002,$K999,$G$3:$G$1002))</f>
        <v/>
      </c>
      <c r="N999">
        <f>IF($K999="","",COUNTIF($C$3:$C$1002,$K999))</f>
        <v/>
      </c>
      <c r="P999">
        <f>IF($A999="","",$A999*100000+ROW())</f>
        <v/>
      </c>
    </row>
    <row r="1000" ht="18" customHeight="1">
      <c r="A1000" s="60" t="n"/>
      <c r="B1000" s="61">
        <f>IF(A1000="","",TEXT(A1000,"mmm yyyy"))</f>
        <v/>
      </c>
      <c r="C1000" s="62" t="n"/>
      <c r="D1000" s="62" t="n"/>
      <c r="E1000" s="62" t="n"/>
      <c r="F1000" s="62" t="n"/>
      <c r="G1000" s="63" t="n"/>
      <c r="H1000" s="62" t="n"/>
      <c r="K1000">
        <f>IF($C1000="","",IF(COUNTIF($C$3:$C1000,$C1000)=1,$C1000,""))</f>
        <v/>
      </c>
      <c r="L1000">
        <f>IF($K1000="","",$M1000+ROW()/10000000)</f>
        <v/>
      </c>
      <c r="M1000">
        <f>IF($K1000="","",SUMIF($C$3:$C$1002,$K1000,$G$3:$G$1002))</f>
        <v/>
      </c>
      <c r="N1000">
        <f>IF($K1000="","",COUNTIF($C$3:$C$1002,$K1000))</f>
        <v/>
      </c>
      <c r="P1000">
        <f>IF($A1000="","",$A1000*100000+ROW())</f>
        <v/>
      </c>
    </row>
    <row r="1001" ht="18" customHeight="1">
      <c r="A1001" s="60" t="n"/>
      <c r="B1001" s="61">
        <f>IF(A1001="","",TEXT(A1001,"mmm yyyy"))</f>
        <v/>
      </c>
      <c r="C1001" s="62" t="n"/>
      <c r="D1001" s="62" t="n"/>
      <c r="E1001" s="62" t="n"/>
      <c r="F1001" s="62" t="n"/>
      <c r="G1001" s="63" t="n"/>
      <c r="H1001" s="62" t="n"/>
      <c r="K1001">
        <f>IF($C1001="","",IF(COUNTIF($C$3:$C1001,$C1001)=1,$C1001,""))</f>
        <v/>
      </c>
      <c r="L1001">
        <f>IF($K1001="","",$M1001+ROW()/10000000)</f>
        <v/>
      </c>
      <c r="M1001">
        <f>IF($K1001="","",SUMIF($C$3:$C$1002,$K1001,$G$3:$G$1002))</f>
        <v/>
      </c>
      <c r="N1001">
        <f>IF($K1001="","",COUNTIF($C$3:$C$1002,$K1001))</f>
        <v/>
      </c>
      <c r="P1001">
        <f>IF($A1001="","",$A1001*100000+ROW())</f>
        <v/>
      </c>
    </row>
    <row r="1002" ht="18" customHeight="1">
      <c r="A1002" s="60" t="n"/>
      <c r="B1002" s="61">
        <f>IF(A1002="","",TEXT(A1002,"mmm yyyy"))</f>
        <v/>
      </c>
      <c r="C1002" s="62" t="n"/>
      <c r="D1002" s="62" t="n"/>
      <c r="E1002" s="62" t="n"/>
      <c r="F1002" s="62" t="n"/>
      <c r="G1002" s="63" t="n"/>
      <c r="H1002" s="62" t="n"/>
      <c r="K1002">
        <f>IF($C1002="","",IF(COUNTIF($C$3:$C1002,$C1002)=1,$C1002,""))</f>
        <v/>
      </c>
      <c r="L1002">
        <f>IF($K1002="","",$M1002+ROW()/10000000)</f>
        <v/>
      </c>
      <c r="M1002">
        <f>IF($K1002="","",SUMIF($C$3:$C$1002,$K1002,$G$3:$G$1002))</f>
        <v/>
      </c>
      <c r="N1002">
        <f>IF($K1002="","",COUNTIF($C$3:$C$1002,$K1002))</f>
        <v/>
      </c>
      <c r="P1002">
        <f>IF($A1002="","",$A1002*100000+ROW())</f>
        <v/>
      </c>
    </row>
  </sheetData>
  <mergeCells count="1">
    <mergeCell ref="A1:H1"/>
  </mergeCells>
  <conditionalFormatting sqref="E3:E1002">
    <cfRule type="cellIs" priority="1" operator="equal" dxfId="0">
      <formula>"Inventory (COGS)"</formula>
    </cfRule>
    <cfRule type="cellIs" priority="2" operator="equal" dxfId="1">
      <formula>"Packaging &amp; Shipping"</formula>
    </cfRule>
    <cfRule type="cellIs" priority="3" operator="equal" dxfId="2">
      <formula>"Software &amp; Technology"</formula>
    </cfRule>
    <cfRule type="cellIs" priority="4" operator="equal" dxfId="3">
      <formula>"Marketing &amp; Advertising"</formula>
    </cfRule>
    <cfRule type="cellIs" priority="5" operator="equal" dxfId="4">
      <formula>"Office &amp; Supplies"</formula>
    </cfRule>
  </conditionalFormatting>
  <dataValidations count="1">
    <dataValidation sqref="E3:E1002" showDropDown="0" showInputMessage="0" showErrorMessage="0" allowBlank="1" errorTitle="Invalid category" error="Pick a category from the list on the Categories tab." prompt="Choose a category" type="list">
      <formula1>=ExpenseCategories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6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8" customWidth="1" min="4" max="4"/>
    <col width="18" customWidth="1" min="5" max="5"/>
    <col width="16" customWidth="1" min="6" max="6"/>
    <col width="16" customWidth="1" min="7" max="7"/>
    <col width="15" customWidth="1" min="8" max="8"/>
    <col width="18" customWidth="1" min="9" max="9"/>
    <col width="16" customWidth="1" min="10" max="10"/>
    <col hidden="1" width="13" customWidth="1" min="12" max="12"/>
  </cols>
  <sheetData>
    <row r="1" ht="26" customHeight="1">
      <c r="A1" s="65" t="inlineStr">
        <is>
          <t>MONTHLY SUMMARY</t>
        </is>
      </c>
    </row>
    <row r="3" ht="20" customHeight="1">
      <c r="A3" s="3" t="inlineStr">
        <is>
          <t>ALL-TIME EXPENSES</t>
        </is>
      </c>
      <c r="B3" s="5" t="n"/>
      <c r="C3" s="3" t="inlineStr">
        <is>
          <t>AVERAGE MONTHLY</t>
        </is>
      </c>
      <c r="D3" s="5" t="n"/>
      <c r="E3" s="3" t="inlineStr">
        <is>
          <t>HIGHEST MONTH</t>
        </is>
      </c>
      <c r="F3" s="5" t="n"/>
      <c r="G3" s="3" t="inlineStr">
        <is>
          <t>LOWEST MONTH</t>
        </is>
      </c>
      <c r="H3" s="5" t="n"/>
      <c r="I3" s="3" t="inlineStr">
        <is>
          <t>LARGEST SINGLE EXPENSE</t>
        </is>
      </c>
      <c r="J3" s="5" t="n"/>
    </row>
    <row r="4" ht="20" customHeight="1">
      <c r="A4" s="66">
        <f>SUM('Expense Tracker'!$G$3:$G$1002)</f>
        <v/>
      </c>
      <c r="B4" s="8" t="n"/>
      <c r="C4" s="66">
        <f>IFERROR(SUM('Expense Tracker'!$G$3:$G$1002)/COUNTIF($G$12:$G$35,"&gt;0"),0)</f>
        <v/>
      </c>
      <c r="D4" s="8" t="n"/>
      <c r="E4" s="67">
        <f>IFERROR(INDEX($A$12:$A$35,MATCH(MAX($G$12:$G$35),$G$12:$G$35,0)),"")</f>
        <v/>
      </c>
      <c r="F4" s="8" t="n"/>
      <c r="G4" s="67">
        <f>IFERROR(INDEX($A$12:$A$35,MATCH(_xlfn.MINIFS($G$12:$G$35,$G$12:$G$35,"&gt;0"),$G$12:$G$35,0)),"")</f>
        <v/>
      </c>
      <c r="H4" s="8" t="n"/>
      <c r="I4" s="68">
        <f>IFERROR(MAX('Expense Tracker'!$G$3:$G$1002),0)</f>
        <v/>
      </c>
      <c r="J4" s="8" t="n"/>
    </row>
    <row r="5" ht="20" customHeight="1">
      <c r="A5" s="10" t="n"/>
      <c r="B5" s="8" t="n"/>
      <c r="C5" s="10" t="n"/>
      <c r="D5" s="8" t="n"/>
      <c r="E5" s="10" t="n"/>
      <c r="F5" s="8" t="n"/>
      <c r="G5" s="10" t="n"/>
      <c r="H5" s="8" t="n"/>
      <c r="I5" s="10" t="n"/>
      <c r="J5" s="8" t="n"/>
    </row>
    <row r="6" ht="20" customHeight="1">
      <c r="A6" s="11" t="inlineStr"/>
      <c r="B6" s="13" t="n"/>
      <c r="C6" s="11" t="inlineStr">
        <is>
          <t>Across months with expenses</t>
        </is>
      </c>
      <c r="D6" s="13" t="n"/>
      <c r="E6" s="69">
        <f>IFERROR(MAX($G$12:$G$35),0)</f>
        <v/>
      </c>
      <c r="F6" s="13" t="n"/>
      <c r="G6" s="69">
        <f>IFERROR(_xlfn.MINIFS($G$12:$G$35,$G$12:$G$35,"&gt;0"),0)</f>
        <v/>
      </c>
      <c r="H6" s="13" t="n"/>
      <c r="I6" s="11" t="inlineStr"/>
      <c r="J6" s="13" t="n"/>
    </row>
    <row r="11" ht="30" customHeight="1">
      <c r="A11" s="70" t="inlineStr">
        <is>
          <t>Month</t>
        </is>
      </c>
      <c r="B11" s="71" t="inlineStr">
        <is>
          <t>Inventory (COGS)</t>
        </is>
      </c>
      <c r="C11" s="71" t="inlineStr">
        <is>
          <t>Packaging &amp; Shipping</t>
        </is>
      </c>
      <c r="D11" s="71" t="inlineStr">
        <is>
          <t>Software &amp; Technology</t>
        </is>
      </c>
      <c r="E11" s="71" t="inlineStr">
        <is>
          <t>Marketing &amp; Advertising</t>
        </is>
      </c>
      <c r="F11" s="71" t="inlineStr">
        <is>
          <t>Office &amp; Supplies</t>
        </is>
      </c>
      <c r="G11" s="71" t="inlineStr">
        <is>
          <t>Total Expenses</t>
        </is>
      </c>
      <c r="H11" s="72" t="inlineStr">
        <is>
          <t>% Change</t>
        </is>
      </c>
    </row>
    <row r="12" ht="18" customHeight="1">
      <c r="A12" s="73">
        <f>TEXT(L12,"mmm yyyy")</f>
        <v/>
      </c>
      <c r="B12" s="74">
        <f>SUMIFS('Expense Tracker'!$G$3:$G$1002,'Expense Tracker'!$A$3:$A$1002,"&gt;="&amp;$L12,'Expense Tracker'!$A$3:$A$1002,"&lt;="&amp;EOMONTH($L12,0),'Expense Tracker'!$E$3:$E$1002,B$11)</f>
        <v/>
      </c>
      <c r="C12" s="74">
        <f>SUMIFS('Expense Tracker'!$G$3:$G$1002,'Expense Tracker'!$A$3:$A$1002,"&gt;="&amp;$L12,'Expense Tracker'!$A$3:$A$1002,"&lt;="&amp;EOMONTH($L12,0),'Expense Tracker'!$E$3:$E$1002,C$11)</f>
        <v/>
      </c>
      <c r="D12" s="74">
        <f>SUMIFS('Expense Tracker'!$G$3:$G$1002,'Expense Tracker'!$A$3:$A$1002,"&gt;="&amp;$L12,'Expense Tracker'!$A$3:$A$1002,"&lt;="&amp;EOMONTH($L12,0),'Expense Tracker'!$E$3:$E$1002,D$11)</f>
        <v/>
      </c>
      <c r="E12" s="74">
        <f>SUMIFS('Expense Tracker'!$G$3:$G$1002,'Expense Tracker'!$A$3:$A$1002,"&gt;="&amp;$L12,'Expense Tracker'!$A$3:$A$1002,"&lt;="&amp;EOMONTH($L12,0),'Expense Tracker'!$E$3:$E$1002,E$11)</f>
        <v/>
      </c>
      <c r="F12" s="74">
        <f>SUMIFS('Expense Tracker'!$G$3:$G$1002,'Expense Tracker'!$A$3:$A$1002,"&gt;="&amp;$L12,'Expense Tracker'!$A$3:$A$1002,"&lt;="&amp;EOMONTH($L12,0),'Expense Tracker'!$E$3:$E$1002,F$11)</f>
        <v/>
      </c>
      <c r="G12" s="75">
        <f>IF(SUM(B12:F12)=0,"",SUM(B12:F12))</f>
        <v/>
      </c>
      <c r="H12" s="76" t="inlineStr"/>
      <c r="L12">
        <f>IF(COUNT('Expense Tracker'!$A$3:$A$1002)=0,DATE(YEAR(TODAY()),MONTH(TODAY()),1),DATE(YEAR(MIN('Expense Tracker'!$A$3:$A$1002)),MONTH(MIN('Expense Tracker'!$A$3:$A$1002)),1))</f>
        <v/>
      </c>
    </row>
    <row r="13" ht="18" customHeight="1">
      <c r="A13" s="77">
        <f>TEXT(L13,"mmm yyyy")</f>
        <v/>
      </c>
      <c r="B13" s="78">
        <f>SUMIFS('Expense Tracker'!$G$3:$G$1002,'Expense Tracker'!$A$3:$A$1002,"&gt;="&amp;$L13,'Expense Tracker'!$A$3:$A$1002,"&lt;="&amp;EOMONTH($L13,0),'Expense Tracker'!$E$3:$E$1002,B$11)</f>
        <v/>
      </c>
      <c r="C13" s="78">
        <f>SUMIFS('Expense Tracker'!$G$3:$G$1002,'Expense Tracker'!$A$3:$A$1002,"&gt;="&amp;$L13,'Expense Tracker'!$A$3:$A$1002,"&lt;="&amp;EOMONTH($L13,0),'Expense Tracker'!$E$3:$E$1002,C$11)</f>
        <v/>
      </c>
      <c r="D13" s="78">
        <f>SUMIFS('Expense Tracker'!$G$3:$G$1002,'Expense Tracker'!$A$3:$A$1002,"&gt;="&amp;$L13,'Expense Tracker'!$A$3:$A$1002,"&lt;="&amp;EOMONTH($L13,0),'Expense Tracker'!$E$3:$E$1002,D$11)</f>
        <v/>
      </c>
      <c r="E13" s="78">
        <f>SUMIFS('Expense Tracker'!$G$3:$G$1002,'Expense Tracker'!$A$3:$A$1002,"&gt;="&amp;$L13,'Expense Tracker'!$A$3:$A$1002,"&lt;="&amp;EOMONTH($L13,0),'Expense Tracker'!$E$3:$E$1002,E$11)</f>
        <v/>
      </c>
      <c r="F13" s="78">
        <f>SUMIFS('Expense Tracker'!$G$3:$G$1002,'Expense Tracker'!$A$3:$A$1002,"&gt;="&amp;$L13,'Expense Tracker'!$A$3:$A$1002,"&lt;="&amp;EOMONTH($L13,0),'Expense Tracker'!$E$3:$E$1002,F$11)</f>
        <v/>
      </c>
      <c r="G13" s="79">
        <f>IF(SUM(B13:F13)=0,"",SUM(B13:F13))</f>
        <v/>
      </c>
      <c r="H13" s="80">
        <f>IF(OR(N(G12)=0,N(G13)=0),"",(G13-G12)/G12)</f>
        <v/>
      </c>
      <c r="L13">
        <f>EOMONTH(L12,0)+1</f>
        <v/>
      </c>
    </row>
    <row r="14" ht="18" customHeight="1">
      <c r="A14" s="73">
        <f>TEXT(L14,"mmm yyyy")</f>
        <v/>
      </c>
      <c r="B14" s="74">
        <f>SUMIFS('Expense Tracker'!$G$3:$G$1002,'Expense Tracker'!$A$3:$A$1002,"&gt;="&amp;$L14,'Expense Tracker'!$A$3:$A$1002,"&lt;="&amp;EOMONTH($L14,0),'Expense Tracker'!$E$3:$E$1002,B$11)</f>
        <v/>
      </c>
      <c r="C14" s="74">
        <f>SUMIFS('Expense Tracker'!$G$3:$G$1002,'Expense Tracker'!$A$3:$A$1002,"&gt;="&amp;$L14,'Expense Tracker'!$A$3:$A$1002,"&lt;="&amp;EOMONTH($L14,0),'Expense Tracker'!$E$3:$E$1002,C$11)</f>
        <v/>
      </c>
      <c r="D14" s="74">
        <f>SUMIFS('Expense Tracker'!$G$3:$G$1002,'Expense Tracker'!$A$3:$A$1002,"&gt;="&amp;$L14,'Expense Tracker'!$A$3:$A$1002,"&lt;="&amp;EOMONTH($L14,0),'Expense Tracker'!$E$3:$E$1002,D$11)</f>
        <v/>
      </c>
      <c r="E14" s="74">
        <f>SUMIFS('Expense Tracker'!$G$3:$G$1002,'Expense Tracker'!$A$3:$A$1002,"&gt;="&amp;$L14,'Expense Tracker'!$A$3:$A$1002,"&lt;="&amp;EOMONTH($L14,0),'Expense Tracker'!$E$3:$E$1002,E$11)</f>
        <v/>
      </c>
      <c r="F14" s="74">
        <f>SUMIFS('Expense Tracker'!$G$3:$G$1002,'Expense Tracker'!$A$3:$A$1002,"&gt;="&amp;$L14,'Expense Tracker'!$A$3:$A$1002,"&lt;="&amp;EOMONTH($L14,0),'Expense Tracker'!$E$3:$E$1002,F$11)</f>
        <v/>
      </c>
      <c r="G14" s="75">
        <f>IF(SUM(B14:F14)=0,"",SUM(B14:F14))</f>
        <v/>
      </c>
      <c r="H14" s="76">
        <f>IF(OR(N(G13)=0,N(G14)=0),"",(G14-G13)/G13)</f>
        <v/>
      </c>
      <c r="L14">
        <f>EOMONTH(L13,0)+1</f>
        <v/>
      </c>
    </row>
    <row r="15" ht="18" customHeight="1">
      <c r="A15" s="77">
        <f>TEXT(L15,"mmm yyyy")</f>
        <v/>
      </c>
      <c r="B15" s="78">
        <f>SUMIFS('Expense Tracker'!$G$3:$G$1002,'Expense Tracker'!$A$3:$A$1002,"&gt;="&amp;$L15,'Expense Tracker'!$A$3:$A$1002,"&lt;="&amp;EOMONTH($L15,0),'Expense Tracker'!$E$3:$E$1002,B$11)</f>
        <v/>
      </c>
      <c r="C15" s="78">
        <f>SUMIFS('Expense Tracker'!$G$3:$G$1002,'Expense Tracker'!$A$3:$A$1002,"&gt;="&amp;$L15,'Expense Tracker'!$A$3:$A$1002,"&lt;="&amp;EOMONTH($L15,0),'Expense Tracker'!$E$3:$E$1002,C$11)</f>
        <v/>
      </c>
      <c r="D15" s="78">
        <f>SUMIFS('Expense Tracker'!$G$3:$G$1002,'Expense Tracker'!$A$3:$A$1002,"&gt;="&amp;$L15,'Expense Tracker'!$A$3:$A$1002,"&lt;="&amp;EOMONTH($L15,0),'Expense Tracker'!$E$3:$E$1002,D$11)</f>
        <v/>
      </c>
      <c r="E15" s="78">
        <f>SUMIFS('Expense Tracker'!$G$3:$G$1002,'Expense Tracker'!$A$3:$A$1002,"&gt;="&amp;$L15,'Expense Tracker'!$A$3:$A$1002,"&lt;="&amp;EOMONTH($L15,0),'Expense Tracker'!$E$3:$E$1002,E$11)</f>
        <v/>
      </c>
      <c r="F15" s="78">
        <f>SUMIFS('Expense Tracker'!$G$3:$G$1002,'Expense Tracker'!$A$3:$A$1002,"&gt;="&amp;$L15,'Expense Tracker'!$A$3:$A$1002,"&lt;="&amp;EOMONTH($L15,0),'Expense Tracker'!$E$3:$E$1002,F$11)</f>
        <v/>
      </c>
      <c r="G15" s="79">
        <f>IF(SUM(B15:F15)=0,"",SUM(B15:F15))</f>
        <v/>
      </c>
      <c r="H15" s="80">
        <f>IF(OR(N(G14)=0,N(G15)=0),"",(G15-G14)/G14)</f>
        <v/>
      </c>
      <c r="L15">
        <f>EOMONTH(L14,0)+1</f>
        <v/>
      </c>
    </row>
    <row r="16" ht="18" customHeight="1">
      <c r="A16" s="73">
        <f>TEXT(L16,"mmm yyyy")</f>
        <v/>
      </c>
      <c r="B16" s="74">
        <f>SUMIFS('Expense Tracker'!$G$3:$G$1002,'Expense Tracker'!$A$3:$A$1002,"&gt;="&amp;$L16,'Expense Tracker'!$A$3:$A$1002,"&lt;="&amp;EOMONTH($L16,0),'Expense Tracker'!$E$3:$E$1002,B$11)</f>
        <v/>
      </c>
      <c r="C16" s="74">
        <f>SUMIFS('Expense Tracker'!$G$3:$G$1002,'Expense Tracker'!$A$3:$A$1002,"&gt;="&amp;$L16,'Expense Tracker'!$A$3:$A$1002,"&lt;="&amp;EOMONTH($L16,0),'Expense Tracker'!$E$3:$E$1002,C$11)</f>
        <v/>
      </c>
      <c r="D16" s="74">
        <f>SUMIFS('Expense Tracker'!$G$3:$G$1002,'Expense Tracker'!$A$3:$A$1002,"&gt;="&amp;$L16,'Expense Tracker'!$A$3:$A$1002,"&lt;="&amp;EOMONTH($L16,0),'Expense Tracker'!$E$3:$E$1002,D$11)</f>
        <v/>
      </c>
      <c r="E16" s="74">
        <f>SUMIFS('Expense Tracker'!$G$3:$G$1002,'Expense Tracker'!$A$3:$A$1002,"&gt;="&amp;$L16,'Expense Tracker'!$A$3:$A$1002,"&lt;="&amp;EOMONTH($L16,0),'Expense Tracker'!$E$3:$E$1002,E$11)</f>
        <v/>
      </c>
      <c r="F16" s="74">
        <f>SUMIFS('Expense Tracker'!$G$3:$G$1002,'Expense Tracker'!$A$3:$A$1002,"&gt;="&amp;$L16,'Expense Tracker'!$A$3:$A$1002,"&lt;="&amp;EOMONTH($L16,0),'Expense Tracker'!$E$3:$E$1002,F$11)</f>
        <v/>
      </c>
      <c r="G16" s="75">
        <f>IF(SUM(B16:F16)=0,"",SUM(B16:F16))</f>
        <v/>
      </c>
      <c r="H16" s="76">
        <f>IF(OR(N(G15)=0,N(G16)=0),"",(G16-G15)/G15)</f>
        <v/>
      </c>
      <c r="L16">
        <f>EOMONTH(L15,0)+1</f>
        <v/>
      </c>
    </row>
    <row r="17" ht="18" customHeight="1">
      <c r="A17" s="77">
        <f>TEXT(L17,"mmm yyyy")</f>
        <v/>
      </c>
      <c r="B17" s="78">
        <f>SUMIFS('Expense Tracker'!$G$3:$G$1002,'Expense Tracker'!$A$3:$A$1002,"&gt;="&amp;$L17,'Expense Tracker'!$A$3:$A$1002,"&lt;="&amp;EOMONTH($L17,0),'Expense Tracker'!$E$3:$E$1002,B$11)</f>
        <v/>
      </c>
      <c r="C17" s="78">
        <f>SUMIFS('Expense Tracker'!$G$3:$G$1002,'Expense Tracker'!$A$3:$A$1002,"&gt;="&amp;$L17,'Expense Tracker'!$A$3:$A$1002,"&lt;="&amp;EOMONTH($L17,0),'Expense Tracker'!$E$3:$E$1002,C$11)</f>
        <v/>
      </c>
      <c r="D17" s="78">
        <f>SUMIFS('Expense Tracker'!$G$3:$G$1002,'Expense Tracker'!$A$3:$A$1002,"&gt;="&amp;$L17,'Expense Tracker'!$A$3:$A$1002,"&lt;="&amp;EOMONTH($L17,0),'Expense Tracker'!$E$3:$E$1002,D$11)</f>
        <v/>
      </c>
      <c r="E17" s="78">
        <f>SUMIFS('Expense Tracker'!$G$3:$G$1002,'Expense Tracker'!$A$3:$A$1002,"&gt;="&amp;$L17,'Expense Tracker'!$A$3:$A$1002,"&lt;="&amp;EOMONTH($L17,0),'Expense Tracker'!$E$3:$E$1002,E$11)</f>
        <v/>
      </c>
      <c r="F17" s="78">
        <f>SUMIFS('Expense Tracker'!$G$3:$G$1002,'Expense Tracker'!$A$3:$A$1002,"&gt;="&amp;$L17,'Expense Tracker'!$A$3:$A$1002,"&lt;="&amp;EOMONTH($L17,0),'Expense Tracker'!$E$3:$E$1002,F$11)</f>
        <v/>
      </c>
      <c r="G17" s="79">
        <f>IF(SUM(B17:F17)=0,"",SUM(B17:F17))</f>
        <v/>
      </c>
      <c r="H17" s="80">
        <f>IF(OR(N(G16)=0,N(G17)=0),"",(G17-G16)/G16)</f>
        <v/>
      </c>
      <c r="L17">
        <f>EOMONTH(L16,0)+1</f>
        <v/>
      </c>
    </row>
    <row r="18" ht="18" customHeight="1">
      <c r="A18" s="73">
        <f>TEXT(L18,"mmm yyyy")</f>
        <v/>
      </c>
      <c r="B18" s="74">
        <f>SUMIFS('Expense Tracker'!$G$3:$G$1002,'Expense Tracker'!$A$3:$A$1002,"&gt;="&amp;$L18,'Expense Tracker'!$A$3:$A$1002,"&lt;="&amp;EOMONTH($L18,0),'Expense Tracker'!$E$3:$E$1002,B$11)</f>
        <v/>
      </c>
      <c r="C18" s="74">
        <f>SUMIFS('Expense Tracker'!$G$3:$G$1002,'Expense Tracker'!$A$3:$A$1002,"&gt;="&amp;$L18,'Expense Tracker'!$A$3:$A$1002,"&lt;="&amp;EOMONTH($L18,0),'Expense Tracker'!$E$3:$E$1002,C$11)</f>
        <v/>
      </c>
      <c r="D18" s="74">
        <f>SUMIFS('Expense Tracker'!$G$3:$G$1002,'Expense Tracker'!$A$3:$A$1002,"&gt;="&amp;$L18,'Expense Tracker'!$A$3:$A$1002,"&lt;="&amp;EOMONTH($L18,0),'Expense Tracker'!$E$3:$E$1002,D$11)</f>
        <v/>
      </c>
      <c r="E18" s="74">
        <f>SUMIFS('Expense Tracker'!$G$3:$G$1002,'Expense Tracker'!$A$3:$A$1002,"&gt;="&amp;$L18,'Expense Tracker'!$A$3:$A$1002,"&lt;="&amp;EOMONTH($L18,0),'Expense Tracker'!$E$3:$E$1002,E$11)</f>
        <v/>
      </c>
      <c r="F18" s="74">
        <f>SUMIFS('Expense Tracker'!$G$3:$G$1002,'Expense Tracker'!$A$3:$A$1002,"&gt;="&amp;$L18,'Expense Tracker'!$A$3:$A$1002,"&lt;="&amp;EOMONTH($L18,0),'Expense Tracker'!$E$3:$E$1002,F$11)</f>
        <v/>
      </c>
      <c r="G18" s="75">
        <f>IF(SUM(B18:F18)=0,"",SUM(B18:F18))</f>
        <v/>
      </c>
      <c r="H18" s="76">
        <f>IF(OR(N(G17)=0,N(G18)=0),"",(G18-G17)/G17)</f>
        <v/>
      </c>
      <c r="L18">
        <f>EOMONTH(L17,0)+1</f>
        <v/>
      </c>
    </row>
    <row r="19" ht="18" customHeight="1">
      <c r="A19" s="77">
        <f>TEXT(L19,"mmm yyyy")</f>
        <v/>
      </c>
      <c r="B19" s="78">
        <f>SUMIFS('Expense Tracker'!$G$3:$G$1002,'Expense Tracker'!$A$3:$A$1002,"&gt;="&amp;$L19,'Expense Tracker'!$A$3:$A$1002,"&lt;="&amp;EOMONTH($L19,0),'Expense Tracker'!$E$3:$E$1002,B$11)</f>
        <v/>
      </c>
      <c r="C19" s="78">
        <f>SUMIFS('Expense Tracker'!$G$3:$G$1002,'Expense Tracker'!$A$3:$A$1002,"&gt;="&amp;$L19,'Expense Tracker'!$A$3:$A$1002,"&lt;="&amp;EOMONTH($L19,0),'Expense Tracker'!$E$3:$E$1002,C$11)</f>
        <v/>
      </c>
      <c r="D19" s="78">
        <f>SUMIFS('Expense Tracker'!$G$3:$G$1002,'Expense Tracker'!$A$3:$A$1002,"&gt;="&amp;$L19,'Expense Tracker'!$A$3:$A$1002,"&lt;="&amp;EOMONTH($L19,0),'Expense Tracker'!$E$3:$E$1002,D$11)</f>
        <v/>
      </c>
      <c r="E19" s="78">
        <f>SUMIFS('Expense Tracker'!$G$3:$G$1002,'Expense Tracker'!$A$3:$A$1002,"&gt;="&amp;$L19,'Expense Tracker'!$A$3:$A$1002,"&lt;="&amp;EOMONTH($L19,0),'Expense Tracker'!$E$3:$E$1002,E$11)</f>
        <v/>
      </c>
      <c r="F19" s="78">
        <f>SUMIFS('Expense Tracker'!$G$3:$G$1002,'Expense Tracker'!$A$3:$A$1002,"&gt;="&amp;$L19,'Expense Tracker'!$A$3:$A$1002,"&lt;="&amp;EOMONTH($L19,0),'Expense Tracker'!$E$3:$E$1002,F$11)</f>
        <v/>
      </c>
      <c r="G19" s="79">
        <f>IF(SUM(B19:F19)=0,"",SUM(B19:F19))</f>
        <v/>
      </c>
      <c r="H19" s="80">
        <f>IF(OR(N(G18)=0,N(G19)=0),"",(G19-G18)/G18)</f>
        <v/>
      </c>
      <c r="L19">
        <f>EOMONTH(L18,0)+1</f>
        <v/>
      </c>
    </row>
    <row r="20" ht="18" customHeight="1">
      <c r="A20" s="73">
        <f>TEXT(L20,"mmm yyyy")</f>
        <v/>
      </c>
      <c r="B20" s="74">
        <f>SUMIFS('Expense Tracker'!$G$3:$G$1002,'Expense Tracker'!$A$3:$A$1002,"&gt;="&amp;$L20,'Expense Tracker'!$A$3:$A$1002,"&lt;="&amp;EOMONTH($L20,0),'Expense Tracker'!$E$3:$E$1002,B$11)</f>
        <v/>
      </c>
      <c r="C20" s="74">
        <f>SUMIFS('Expense Tracker'!$G$3:$G$1002,'Expense Tracker'!$A$3:$A$1002,"&gt;="&amp;$L20,'Expense Tracker'!$A$3:$A$1002,"&lt;="&amp;EOMONTH($L20,0),'Expense Tracker'!$E$3:$E$1002,C$11)</f>
        <v/>
      </c>
      <c r="D20" s="74">
        <f>SUMIFS('Expense Tracker'!$G$3:$G$1002,'Expense Tracker'!$A$3:$A$1002,"&gt;="&amp;$L20,'Expense Tracker'!$A$3:$A$1002,"&lt;="&amp;EOMONTH($L20,0),'Expense Tracker'!$E$3:$E$1002,D$11)</f>
        <v/>
      </c>
      <c r="E20" s="74">
        <f>SUMIFS('Expense Tracker'!$G$3:$G$1002,'Expense Tracker'!$A$3:$A$1002,"&gt;="&amp;$L20,'Expense Tracker'!$A$3:$A$1002,"&lt;="&amp;EOMONTH($L20,0),'Expense Tracker'!$E$3:$E$1002,E$11)</f>
        <v/>
      </c>
      <c r="F20" s="74">
        <f>SUMIFS('Expense Tracker'!$G$3:$G$1002,'Expense Tracker'!$A$3:$A$1002,"&gt;="&amp;$L20,'Expense Tracker'!$A$3:$A$1002,"&lt;="&amp;EOMONTH($L20,0),'Expense Tracker'!$E$3:$E$1002,F$11)</f>
        <v/>
      </c>
      <c r="G20" s="75">
        <f>IF(SUM(B20:F20)=0,"",SUM(B20:F20))</f>
        <v/>
      </c>
      <c r="H20" s="76">
        <f>IF(OR(N(G19)=0,N(G20)=0),"",(G20-G19)/G19)</f>
        <v/>
      </c>
      <c r="L20">
        <f>EOMONTH(L19,0)+1</f>
        <v/>
      </c>
    </row>
    <row r="21" ht="18" customHeight="1">
      <c r="A21" s="77">
        <f>TEXT(L21,"mmm yyyy")</f>
        <v/>
      </c>
      <c r="B21" s="78">
        <f>SUMIFS('Expense Tracker'!$G$3:$G$1002,'Expense Tracker'!$A$3:$A$1002,"&gt;="&amp;$L21,'Expense Tracker'!$A$3:$A$1002,"&lt;="&amp;EOMONTH($L21,0),'Expense Tracker'!$E$3:$E$1002,B$11)</f>
        <v/>
      </c>
      <c r="C21" s="78">
        <f>SUMIFS('Expense Tracker'!$G$3:$G$1002,'Expense Tracker'!$A$3:$A$1002,"&gt;="&amp;$L21,'Expense Tracker'!$A$3:$A$1002,"&lt;="&amp;EOMONTH($L21,0),'Expense Tracker'!$E$3:$E$1002,C$11)</f>
        <v/>
      </c>
      <c r="D21" s="78">
        <f>SUMIFS('Expense Tracker'!$G$3:$G$1002,'Expense Tracker'!$A$3:$A$1002,"&gt;="&amp;$L21,'Expense Tracker'!$A$3:$A$1002,"&lt;="&amp;EOMONTH($L21,0),'Expense Tracker'!$E$3:$E$1002,D$11)</f>
        <v/>
      </c>
      <c r="E21" s="78">
        <f>SUMIFS('Expense Tracker'!$G$3:$G$1002,'Expense Tracker'!$A$3:$A$1002,"&gt;="&amp;$L21,'Expense Tracker'!$A$3:$A$1002,"&lt;="&amp;EOMONTH($L21,0),'Expense Tracker'!$E$3:$E$1002,E$11)</f>
        <v/>
      </c>
      <c r="F21" s="78">
        <f>SUMIFS('Expense Tracker'!$G$3:$G$1002,'Expense Tracker'!$A$3:$A$1002,"&gt;="&amp;$L21,'Expense Tracker'!$A$3:$A$1002,"&lt;="&amp;EOMONTH($L21,0),'Expense Tracker'!$E$3:$E$1002,F$11)</f>
        <v/>
      </c>
      <c r="G21" s="79">
        <f>IF(SUM(B21:F21)=0,"",SUM(B21:F21))</f>
        <v/>
      </c>
      <c r="H21" s="80">
        <f>IF(OR(N(G20)=0,N(G21)=0),"",(G21-G20)/G20)</f>
        <v/>
      </c>
      <c r="L21">
        <f>EOMONTH(L20,0)+1</f>
        <v/>
      </c>
    </row>
    <row r="22" ht="18" customHeight="1">
      <c r="A22" s="73">
        <f>TEXT(L22,"mmm yyyy")</f>
        <v/>
      </c>
      <c r="B22" s="74">
        <f>SUMIFS('Expense Tracker'!$G$3:$G$1002,'Expense Tracker'!$A$3:$A$1002,"&gt;="&amp;$L22,'Expense Tracker'!$A$3:$A$1002,"&lt;="&amp;EOMONTH($L22,0),'Expense Tracker'!$E$3:$E$1002,B$11)</f>
        <v/>
      </c>
      <c r="C22" s="74">
        <f>SUMIFS('Expense Tracker'!$G$3:$G$1002,'Expense Tracker'!$A$3:$A$1002,"&gt;="&amp;$L22,'Expense Tracker'!$A$3:$A$1002,"&lt;="&amp;EOMONTH($L22,0),'Expense Tracker'!$E$3:$E$1002,C$11)</f>
        <v/>
      </c>
      <c r="D22" s="74">
        <f>SUMIFS('Expense Tracker'!$G$3:$G$1002,'Expense Tracker'!$A$3:$A$1002,"&gt;="&amp;$L22,'Expense Tracker'!$A$3:$A$1002,"&lt;="&amp;EOMONTH($L22,0),'Expense Tracker'!$E$3:$E$1002,D$11)</f>
        <v/>
      </c>
      <c r="E22" s="74">
        <f>SUMIFS('Expense Tracker'!$G$3:$G$1002,'Expense Tracker'!$A$3:$A$1002,"&gt;="&amp;$L22,'Expense Tracker'!$A$3:$A$1002,"&lt;="&amp;EOMONTH($L22,0),'Expense Tracker'!$E$3:$E$1002,E$11)</f>
        <v/>
      </c>
      <c r="F22" s="74">
        <f>SUMIFS('Expense Tracker'!$G$3:$G$1002,'Expense Tracker'!$A$3:$A$1002,"&gt;="&amp;$L22,'Expense Tracker'!$A$3:$A$1002,"&lt;="&amp;EOMONTH($L22,0),'Expense Tracker'!$E$3:$E$1002,F$11)</f>
        <v/>
      </c>
      <c r="G22" s="75">
        <f>IF(SUM(B22:F22)=0,"",SUM(B22:F22))</f>
        <v/>
      </c>
      <c r="H22" s="76">
        <f>IF(OR(N(G21)=0,N(G22)=0),"",(G22-G21)/G21)</f>
        <v/>
      </c>
      <c r="L22">
        <f>EOMONTH(L21,0)+1</f>
        <v/>
      </c>
    </row>
    <row r="23" ht="18" customHeight="1">
      <c r="A23" s="77">
        <f>TEXT(L23,"mmm yyyy")</f>
        <v/>
      </c>
      <c r="B23" s="78">
        <f>SUMIFS('Expense Tracker'!$G$3:$G$1002,'Expense Tracker'!$A$3:$A$1002,"&gt;="&amp;$L23,'Expense Tracker'!$A$3:$A$1002,"&lt;="&amp;EOMONTH($L23,0),'Expense Tracker'!$E$3:$E$1002,B$11)</f>
        <v/>
      </c>
      <c r="C23" s="78">
        <f>SUMIFS('Expense Tracker'!$G$3:$G$1002,'Expense Tracker'!$A$3:$A$1002,"&gt;="&amp;$L23,'Expense Tracker'!$A$3:$A$1002,"&lt;="&amp;EOMONTH($L23,0),'Expense Tracker'!$E$3:$E$1002,C$11)</f>
        <v/>
      </c>
      <c r="D23" s="78">
        <f>SUMIFS('Expense Tracker'!$G$3:$G$1002,'Expense Tracker'!$A$3:$A$1002,"&gt;="&amp;$L23,'Expense Tracker'!$A$3:$A$1002,"&lt;="&amp;EOMONTH($L23,0),'Expense Tracker'!$E$3:$E$1002,D$11)</f>
        <v/>
      </c>
      <c r="E23" s="78">
        <f>SUMIFS('Expense Tracker'!$G$3:$G$1002,'Expense Tracker'!$A$3:$A$1002,"&gt;="&amp;$L23,'Expense Tracker'!$A$3:$A$1002,"&lt;="&amp;EOMONTH($L23,0),'Expense Tracker'!$E$3:$E$1002,E$11)</f>
        <v/>
      </c>
      <c r="F23" s="78">
        <f>SUMIFS('Expense Tracker'!$G$3:$G$1002,'Expense Tracker'!$A$3:$A$1002,"&gt;="&amp;$L23,'Expense Tracker'!$A$3:$A$1002,"&lt;="&amp;EOMONTH($L23,0),'Expense Tracker'!$E$3:$E$1002,F$11)</f>
        <v/>
      </c>
      <c r="G23" s="79">
        <f>IF(SUM(B23:F23)=0,"",SUM(B23:F23))</f>
        <v/>
      </c>
      <c r="H23" s="80">
        <f>IF(OR(N(G22)=0,N(G23)=0),"",(G23-G22)/G22)</f>
        <v/>
      </c>
      <c r="L23">
        <f>EOMONTH(L22,0)+1</f>
        <v/>
      </c>
    </row>
    <row r="24" ht="18" customHeight="1">
      <c r="A24" s="73">
        <f>TEXT(L24,"mmm yyyy")</f>
        <v/>
      </c>
      <c r="B24" s="74">
        <f>SUMIFS('Expense Tracker'!$G$3:$G$1002,'Expense Tracker'!$A$3:$A$1002,"&gt;="&amp;$L24,'Expense Tracker'!$A$3:$A$1002,"&lt;="&amp;EOMONTH($L24,0),'Expense Tracker'!$E$3:$E$1002,B$11)</f>
        <v/>
      </c>
      <c r="C24" s="74">
        <f>SUMIFS('Expense Tracker'!$G$3:$G$1002,'Expense Tracker'!$A$3:$A$1002,"&gt;="&amp;$L24,'Expense Tracker'!$A$3:$A$1002,"&lt;="&amp;EOMONTH($L24,0),'Expense Tracker'!$E$3:$E$1002,C$11)</f>
        <v/>
      </c>
      <c r="D24" s="74">
        <f>SUMIFS('Expense Tracker'!$G$3:$G$1002,'Expense Tracker'!$A$3:$A$1002,"&gt;="&amp;$L24,'Expense Tracker'!$A$3:$A$1002,"&lt;="&amp;EOMONTH($L24,0),'Expense Tracker'!$E$3:$E$1002,D$11)</f>
        <v/>
      </c>
      <c r="E24" s="74">
        <f>SUMIFS('Expense Tracker'!$G$3:$G$1002,'Expense Tracker'!$A$3:$A$1002,"&gt;="&amp;$L24,'Expense Tracker'!$A$3:$A$1002,"&lt;="&amp;EOMONTH($L24,0),'Expense Tracker'!$E$3:$E$1002,E$11)</f>
        <v/>
      </c>
      <c r="F24" s="74">
        <f>SUMIFS('Expense Tracker'!$G$3:$G$1002,'Expense Tracker'!$A$3:$A$1002,"&gt;="&amp;$L24,'Expense Tracker'!$A$3:$A$1002,"&lt;="&amp;EOMONTH($L24,0),'Expense Tracker'!$E$3:$E$1002,F$11)</f>
        <v/>
      </c>
      <c r="G24" s="75">
        <f>IF(SUM(B24:F24)=0,"",SUM(B24:F24))</f>
        <v/>
      </c>
      <c r="H24" s="76">
        <f>IF(OR(N(G23)=0,N(G24)=0),"",(G24-G23)/G23)</f>
        <v/>
      </c>
      <c r="L24">
        <f>EOMONTH(L23,0)+1</f>
        <v/>
      </c>
    </row>
    <row r="25" ht="18" customHeight="1">
      <c r="A25" s="77">
        <f>TEXT(L25,"mmm yyyy")</f>
        <v/>
      </c>
      <c r="B25" s="78">
        <f>SUMIFS('Expense Tracker'!$G$3:$G$1002,'Expense Tracker'!$A$3:$A$1002,"&gt;="&amp;$L25,'Expense Tracker'!$A$3:$A$1002,"&lt;="&amp;EOMONTH($L25,0),'Expense Tracker'!$E$3:$E$1002,B$11)</f>
        <v/>
      </c>
      <c r="C25" s="78">
        <f>SUMIFS('Expense Tracker'!$G$3:$G$1002,'Expense Tracker'!$A$3:$A$1002,"&gt;="&amp;$L25,'Expense Tracker'!$A$3:$A$1002,"&lt;="&amp;EOMONTH($L25,0),'Expense Tracker'!$E$3:$E$1002,C$11)</f>
        <v/>
      </c>
      <c r="D25" s="78">
        <f>SUMIFS('Expense Tracker'!$G$3:$G$1002,'Expense Tracker'!$A$3:$A$1002,"&gt;="&amp;$L25,'Expense Tracker'!$A$3:$A$1002,"&lt;="&amp;EOMONTH($L25,0),'Expense Tracker'!$E$3:$E$1002,D$11)</f>
        <v/>
      </c>
      <c r="E25" s="78">
        <f>SUMIFS('Expense Tracker'!$G$3:$G$1002,'Expense Tracker'!$A$3:$A$1002,"&gt;="&amp;$L25,'Expense Tracker'!$A$3:$A$1002,"&lt;="&amp;EOMONTH($L25,0),'Expense Tracker'!$E$3:$E$1002,E$11)</f>
        <v/>
      </c>
      <c r="F25" s="78">
        <f>SUMIFS('Expense Tracker'!$G$3:$G$1002,'Expense Tracker'!$A$3:$A$1002,"&gt;="&amp;$L25,'Expense Tracker'!$A$3:$A$1002,"&lt;="&amp;EOMONTH($L25,0),'Expense Tracker'!$E$3:$E$1002,F$11)</f>
        <v/>
      </c>
      <c r="G25" s="79">
        <f>IF(SUM(B25:F25)=0,"",SUM(B25:F25))</f>
        <v/>
      </c>
      <c r="H25" s="80">
        <f>IF(OR(N(G24)=0,N(G25)=0),"",(G25-G24)/G24)</f>
        <v/>
      </c>
      <c r="L25">
        <f>EOMONTH(L24,0)+1</f>
        <v/>
      </c>
    </row>
    <row r="26" ht="18" customHeight="1">
      <c r="A26" s="73">
        <f>TEXT(L26,"mmm yyyy")</f>
        <v/>
      </c>
      <c r="B26" s="74">
        <f>SUMIFS('Expense Tracker'!$G$3:$G$1002,'Expense Tracker'!$A$3:$A$1002,"&gt;="&amp;$L26,'Expense Tracker'!$A$3:$A$1002,"&lt;="&amp;EOMONTH($L26,0),'Expense Tracker'!$E$3:$E$1002,B$11)</f>
        <v/>
      </c>
      <c r="C26" s="74">
        <f>SUMIFS('Expense Tracker'!$G$3:$G$1002,'Expense Tracker'!$A$3:$A$1002,"&gt;="&amp;$L26,'Expense Tracker'!$A$3:$A$1002,"&lt;="&amp;EOMONTH($L26,0),'Expense Tracker'!$E$3:$E$1002,C$11)</f>
        <v/>
      </c>
      <c r="D26" s="74">
        <f>SUMIFS('Expense Tracker'!$G$3:$G$1002,'Expense Tracker'!$A$3:$A$1002,"&gt;="&amp;$L26,'Expense Tracker'!$A$3:$A$1002,"&lt;="&amp;EOMONTH($L26,0),'Expense Tracker'!$E$3:$E$1002,D$11)</f>
        <v/>
      </c>
      <c r="E26" s="74">
        <f>SUMIFS('Expense Tracker'!$G$3:$G$1002,'Expense Tracker'!$A$3:$A$1002,"&gt;="&amp;$L26,'Expense Tracker'!$A$3:$A$1002,"&lt;="&amp;EOMONTH($L26,0),'Expense Tracker'!$E$3:$E$1002,E$11)</f>
        <v/>
      </c>
      <c r="F26" s="74">
        <f>SUMIFS('Expense Tracker'!$G$3:$G$1002,'Expense Tracker'!$A$3:$A$1002,"&gt;="&amp;$L26,'Expense Tracker'!$A$3:$A$1002,"&lt;="&amp;EOMONTH($L26,0),'Expense Tracker'!$E$3:$E$1002,F$11)</f>
        <v/>
      </c>
      <c r="G26" s="75">
        <f>IF(SUM(B26:F26)=0,"",SUM(B26:F26))</f>
        <v/>
      </c>
      <c r="H26" s="76">
        <f>IF(OR(N(G25)=0,N(G26)=0),"",(G26-G25)/G25)</f>
        <v/>
      </c>
      <c r="L26">
        <f>EOMONTH(L25,0)+1</f>
        <v/>
      </c>
    </row>
    <row r="27" ht="18" customHeight="1">
      <c r="A27" s="77">
        <f>TEXT(L27,"mmm yyyy")</f>
        <v/>
      </c>
      <c r="B27" s="78">
        <f>SUMIFS('Expense Tracker'!$G$3:$G$1002,'Expense Tracker'!$A$3:$A$1002,"&gt;="&amp;$L27,'Expense Tracker'!$A$3:$A$1002,"&lt;="&amp;EOMONTH($L27,0),'Expense Tracker'!$E$3:$E$1002,B$11)</f>
        <v/>
      </c>
      <c r="C27" s="78">
        <f>SUMIFS('Expense Tracker'!$G$3:$G$1002,'Expense Tracker'!$A$3:$A$1002,"&gt;="&amp;$L27,'Expense Tracker'!$A$3:$A$1002,"&lt;="&amp;EOMONTH($L27,0),'Expense Tracker'!$E$3:$E$1002,C$11)</f>
        <v/>
      </c>
      <c r="D27" s="78">
        <f>SUMIFS('Expense Tracker'!$G$3:$G$1002,'Expense Tracker'!$A$3:$A$1002,"&gt;="&amp;$L27,'Expense Tracker'!$A$3:$A$1002,"&lt;="&amp;EOMONTH($L27,0),'Expense Tracker'!$E$3:$E$1002,D$11)</f>
        <v/>
      </c>
      <c r="E27" s="78">
        <f>SUMIFS('Expense Tracker'!$G$3:$G$1002,'Expense Tracker'!$A$3:$A$1002,"&gt;="&amp;$L27,'Expense Tracker'!$A$3:$A$1002,"&lt;="&amp;EOMONTH($L27,0),'Expense Tracker'!$E$3:$E$1002,E$11)</f>
        <v/>
      </c>
      <c r="F27" s="78">
        <f>SUMIFS('Expense Tracker'!$G$3:$G$1002,'Expense Tracker'!$A$3:$A$1002,"&gt;="&amp;$L27,'Expense Tracker'!$A$3:$A$1002,"&lt;="&amp;EOMONTH($L27,0),'Expense Tracker'!$E$3:$E$1002,F$11)</f>
        <v/>
      </c>
      <c r="G27" s="79">
        <f>IF(SUM(B27:F27)=0,"",SUM(B27:F27))</f>
        <v/>
      </c>
      <c r="H27" s="80">
        <f>IF(OR(N(G26)=0,N(G27)=0),"",(G27-G26)/G26)</f>
        <v/>
      </c>
      <c r="L27">
        <f>EOMONTH(L26,0)+1</f>
        <v/>
      </c>
    </row>
    <row r="28" ht="18" customHeight="1">
      <c r="A28" s="73">
        <f>TEXT(L28,"mmm yyyy")</f>
        <v/>
      </c>
      <c r="B28" s="74">
        <f>SUMIFS('Expense Tracker'!$G$3:$G$1002,'Expense Tracker'!$A$3:$A$1002,"&gt;="&amp;$L28,'Expense Tracker'!$A$3:$A$1002,"&lt;="&amp;EOMONTH($L28,0),'Expense Tracker'!$E$3:$E$1002,B$11)</f>
        <v/>
      </c>
      <c r="C28" s="74">
        <f>SUMIFS('Expense Tracker'!$G$3:$G$1002,'Expense Tracker'!$A$3:$A$1002,"&gt;="&amp;$L28,'Expense Tracker'!$A$3:$A$1002,"&lt;="&amp;EOMONTH($L28,0),'Expense Tracker'!$E$3:$E$1002,C$11)</f>
        <v/>
      </c>
      <c r="D28" s="74">
        <f>SUMIFS('Expense Tracker'!$G$3:$G$1002,'Expense Tracker'!$A$3:$A$1002,"&gt;="&amp;$L28,'Expense Tracker'!$A$3:$A$1002,"&lt;="&amp;EOMONTH($L28,0),'Expense Tracker'!$E$3:$E$1002,D$11)</f>
        <v/>
      </c>
      <c r="E28" s="74">
        <f>SUMIFS('Expense Tracker'!$G$3:$G$1002,'Expense Tracker'!$A$3:$A$1002,"&gt;="&amp;$L28,'Expense Tracker'!$A$3:$A$1002,"&lt;="&amp;EOMONTH($L28,0),'Expense Tracker'!$E$3:$E$1002,E$11)</f>
        <v/>
      </c>
      <c r="F28" s="74">
        <f>SUMIFS('Expense Tracker'!$G$3:$G$1002,'Expense Tracker'!$A$3:$A$1002,"&gt;="&amp;$L28,'Expense Tracker'!$A$3:$A$1002,"&lt;="&amp;EOMONTH($L28,0),'Expense Tracker'!$E$3:$E$1002,F$11)</f>
        <v/>
      </c>
      <c r="G28" s="75">
        <f>IF(SUM(B28:F28)=0,"",SUM(B28:F28))</f>
        <v/>
      </c>
      <c r="H28" s="76">
        <f>IF(OR(N(G27)=0,N(G28)=0),"",(G28-G27)/G27)</f>
        <v/>
      </c>
      <c r="L28">
        <f>EOMONTH(L27,0)+1</f>
        <v/>
      </c>
    </row>
    <row r="29" ht="18" customHeight="1">
      <c r="A29" s="77">
        <f>TEXT(L29,"mmm yyyy")</f>
        <v/>
      </c>
      <c r="B29" s="78">
        <f>SUMIFS('Expense Tracker'!$G$3:$G$1002,'Expense Tracker'!$A$3:$A$1002,"&gt;="&amp;$L29,'Expense Tracker'!$A$3:$A$1002,"&lt;="&amp;EOMONTH($L29,0),'Expense Tracker'!$E$3:$E$1002,B$11)</f>
        <v/>
      </c>
      <c r="C29" s="78">
        <f>SUMIFS('Expense Tracker'!$G$3:$G$1002,'Expense Tracker'!$A$3:$A$1002,"&gt;="&amp;$L29,'Expense Tracker'!$A$3:$A$1002,"&lt;="&amp;EOMONTH($L29,0),'Expense Tracker'!$E$3:$E$1002,C$11)</f>
        <v/>
      </c>
      <c r="D29" s="78">
        <f>SUMIFS('Expense Tracker'!$G$3:$G$1002,'Expense Tracker'!$A$3:$A$1002,"&gt;="&amp;$L29,'Expense Tracker'!$A$3:$A$1002,"&lt;="&amp;EOMONTH($L29,0),'Expense Tracker'!$E$3:$E$1002,D$11)</f>
        <v/>
      </c>
      <c r="E29" s="78">
        <f>SUMIFS('Expense Tracker'!$G$3:$G$1002,'Expense Tracker'!$A$3:$A$1002,"&gt;="&amp;$L29,'Expense Tracker'!$A$3:$A$1002,"&lt;="&amp;EOMONTH($L29,0),'Expense Tracker'!$E$3:$E$1002,E$11)</f>
        <v/>
      </c>
      <c r="F29" s="78">
        <f>SUMIFS('Expense Tracker'!$G$3:$G$1002,'Expense Tracker'!$A$3:$A$1002,"&gt;="&amp;$L29,'Expense Tracker'!$A$3:$A$1002,"&lt;="&amp;EOMONTH($L29,0),'Expense Tracker'!$E$3:$E$1002,F$11)</f>
        <v/>
      </c>
      <c r="G29" s="79">
        <f>IF(SUM(B29:F29)=0,"",SUM(B29:F29))</f>
        <v/>
      </c>
      <c r="H29" s="80">
        <f>IF(OR(N(G28)=0,N(G29)=0),"",(G29-G28)/G28)</f>
        <v/>
      </c>
      <c r="L29">
        <f>EOMONTH(L28,0)+1</f>
        <v/>
      </c>
    </row>
    <row r="30" ht="18" customHeight="1">
      <c r="A30" s="73">
        <f>TEXT(L30,"mmm yyyy")</f>
        <v/>
      </c>
      <c r="B30" s="74">
        <f>SUMIFS('Expense Tracker'!$G$3:$G$1002,'Expense Tracker'!$A$3:$A$1002,"&gt;="&amp;$L30,'Expense Tracker'!$A$3:$A$1002,"&lt;="&amp;EOMONTH($L30,0),'Expense Tracker'!$E$3:$E$1002,B$11)</f>
        <v/>
      </c>
      <c r="C30" s="74">
        <f>SUMIFS('Expense Tracker'!$G$3:$G$1002,'Expense Tracker'!$A$3:$A$1002,"&gt;="&amp;$L30,'Expense Tracker'!$A$3:$A$1002,"&lt;="&amp;EOMONTH($L30,0),'Expense Tracker'!$E$3:$E$1002,C$11)</f>
        <v/>
      </c>
      <c r="D30" s="74">
        <f>SUMIFS('Expense Tracker'!$G$3:$G$1002,'Expense Tracker'!$A$3:$A$1002,"&gt;="&amp;$L30,'Expense Tracker'!$A$3:$A$1002,"&lt;="&amp;EOMONTH($L30,0),'Expense Tracker'!$E$3:$E$1002,D$11)</f>
        <v/>
      </c>
      <c r="E30" s="74">
        <f>SUMIFS('Expense Tracker'!$G$3:$G$1002,'Expense Tracker'!$A$3:$A$1002,"&gt;="&amp;$L30,'Expense Tracker'!$A$3:$A$1002,"&lt;="&amp;EOMONTH($L30,0),'Expense Tracker'!$E$3:$E$1002,E$11)</f>
        <v/>
      </c>
      <c r="F30" s="74">
        <f>SUMIFS('Expense Tracker'!$G$3:$G$1002,'Expense Tracker'!$A$3:$A$1002,"&gt;="&amp;$L30,'Expense Tracker'!$A$3:$A$1002,"&lt;="&amp;EOMONTH($L30,0),'Expense Tracker'!$E$3:$E$1002,F$11)</f>
        <v/>
      </c>
      <c r="G30" s="75">
        <f>IF(SUM(B30:F30)=0,"",SUM(B30:F30))</f>
        <v/>
      </c>
      <c r="H30" s="76">
        <f>IF(OR(N(G29)=0,N(G30)=0),"",(G30-G29)/G29)</f>
        <v/>
      </c>
      <c r="L30">
        <f>EOMONTH(L29,0)+1</f>
        <v/>
      </c>
    </row>
    <row r="31" ht="18" customHeight="1">
      <c r="A31" s="77">
        <f>TEXT(L31,"mmm yyyy")</f>
        <v/>
      </c>
      <c r="B31" s="78">
        <f>SUMIFS('Expense Tracker'!$G$3:$G$1002,'Expense Tracker'!$A$3:$A$1002,"&gt;="&amp;$L31,'Expense Tracker'!$A$3:$A$1002,"&lt;="&amp;EOMONTH($L31,0),'Expense Tracker'!$E$3:$E$1002,B$11)</f>
        <v/>
      </c>
      <c r="C31" s="78">
        <f>SUMIFS('Expense Tracker'!$G$3:$G$1002,'Expense Tracker'!$A$3:$A$1002,"&gt;="&amp;$L31,'Expense Tracker'!$A$3:$A$1002,"&lt;="&amp;EOMONTH($L31,0),'Expense Tracker'!$E$3:$E$1002,C$11)</f>
        <v/>
      </c>
      <c r="D31" s="78">
        <f>SUMIFS('Expense Tracker'!$G$3:$G$1002,'Expense Tracker'!$A$3:$A$1002,"&gt;="&amp;$L31,'Expense Tracker'!$A$3:$A$1002,"&lt;="&amp;EOMONTH($L31,0),'Expense Tracker'!$E$3:$E$1002,D$11)</f>
        <v/>
      </c>
      <c r="E31" s="78">
        <f>SUMIFS('Expense Tracker'!$G$3:$G$1002,'Expense Tracker'!$A$3:$A$1002,"&gt;="&amp;$L31,'Expense Tracker'!$A$3:$A$1002,"&lt;="&amp;EOMONTH($L31,0),'Expense Tracker'!$E$3:$E$1002,E$11)</f>
        <v/>
      </c>
      <c r="F31" s="78">
        <f>SUMIFS('Expense Tracker'!$G$3:$G$1002,'Expense Tracker'!$A$3:$A$1002,"&gt;="&amp;$L31,'Expense Tracker'!$A$3:$A$1002,"&lt;="&amp;EOMONTH($L31,0),'Expense Tracker'!$E$3:$E$1002,F$11)</f>
        <v/>
      </c>
      <c r="G31" s="79">
        <f>IF(SUM(B31:F31)=0,"",SUM(B31:F31))</f>
        <v/>
      </c>
      <c r="H31" s="80">
        <f>IF(OR(N(G30)=0,N(G31)=0),"",(G31-G30)/G30)</f>
        <v/>
      </c>
      <c r="L31">
        <f>EOMONTH(L30,0)+1</f>
        <v/>
      </c>
    </row>
    <row r="32" ht="18" customHeight="1">
      <c r="A32" s="73">
        <f>TEXT(L32,"mmm yyyy")</f>
        <v/>
      </c>
      <c r="B32" s="74">
        <f>SUMIFS('Expense Tracker'!$G$3:$G$1002,'Expense Tracker'!$A$3:$A$1002,"&gt;="&amp;$L32,'Expense Tracker'!$A$3:$A$1002,"&lt;="&amp;EOMONTH($L32,0),'Expense Tracker'!$E$3:$E$1002,B$11)</f>
        <v/>
      </c>
      <c r="C32" s="74">
        <f>SUMIFS('Expense Tracker'!$G$3:$G$1002,'Expense Tracker'!$A$3:$A$1002,"&gt;="&amp;$L32,'Expense Tracker'!$A$3:$A$1002,"&lt;="&amp;EOMONTH($L32,0),'Expense Tracker'!$E$3:$E$1002,C$11)</f>
        <v/>
      </c>
      <c r="D32" s="74">
        <f>SUMIFS('Expense Tracker'!$G$3:$G$1002,'Expense Tracker'!$A$3:$A$1002,"&gt;="&amp;$L32,'Expense Tracker'!$A$3:$A$1002,"&lt;="&amp;EOMONTH($L32,0),'Expense Tracker'!$E$3:$E$1002,D$11)</f>
        <v/>
      </c>
      <c r="E32" s="74">
        <f>SUMIFS('Expense Tracker'!$G$3:$G$1002,'Expense Tracker'!$A$3:$A$1002,"&gt;="&amp;$L32,'Expense Tracker'!$A$3:$A$1002,"&lt;="&amp;EOMONTH($L32,0),'Expense Tracker'!$E$3:$E$1002,E$11)</f>
        <v/>
      </c>
      <c r="F32" s="74">
        <f>SUMIFS('Expense Tracker'!$G$3:$G$1002,'Expense Tracker'!$A$3:$A$1002,"&gt;="&amp;$L32,'Expense Tracker'!$A$3:$A$1002,"&lt;="&amp;EOMONTH($L32,0),'Expense Tracker'!$E$3:$E$1002,F$11)</f>
        <v/>
      </c>
      <c r="G32" s="75">
        <f>IF(SUM(B32:F32)=0,"",SUM(B32:F32))</f>
        <v/>
      </c>
      <c r="H32" s="76">
        <f>IF(OR(N(G31)=0,N(G32)=0),"",(G32-G31)/G31)</f>
        <v/>
      </c>
      <c r="L32">
        <f>EOMONTH(L31,0)+1</f>
        <v/>
      </c>
    </row>
    <row r="33" ht="18" customHeight="1">
      <c r="A33" s="77">
        <f>TEXT(L33,"mmm yyyy")</f>
        <v/>
      </c>
      <c r="B33" s="78">
        <f>SUMIFS('Expense Tracker'!$G$3:$G$1002,'Expense Tracker'!$A$3:$A$1002,"&gt;="&amp;$L33,'Expense Tracker'!$A$3:$A$1002,"&lt;="&amp;EOMONTH($L33,0),'Expense Tracker'!$E$3:$E$1002,B$11)</f>
        <v/>
      </c>
      <c r="C33" s="78">
        <f>SUMIFS('Expense Tracker'!$G$3:$G$1002,'Expense Tracker'!$A$3:$A$1002,"&gt;="&amp;$L33,'Expense Tracker'!$A$3:$A$1002,"&lt;="&amp;EOMONTH($L33,0),'Expense Tracker'!$E$3:$E$1002,C$11)</f>
        <v/>
      </c>
      <c r="D33" s="78">
        <f>SUMIFS('Expense Tracker'!$G$3:$G$1002,'Expense Tracker'!$A$3:$A$1002,"&gt;="&amp;$L33,'Expense Tracker'!$A$3:$A$1002,"&lt;="&amp;EOMONTH($L33,0),'Expense Tracker'!$E$3:$E$1002,D$11)</f>
        <v/>
      </c>
      <c r="E33" s="78">
        <f>SUMIFS('Expense Tracker'!$G$3:$G$1002,'Expense Tracker'!$A$3:$A$1002,"&gt;="&amp;$L33,'Expense Tracker'!$A$3:$A$1002,"&lt;="&amp;EOMONTH($L33,0),'Expense Tracker'!$E$3:$E$1002,E$11)</f>
        <v/>
      </c>
      <c r="F33" s="78">
        <f>SUMIFS('Expense Tracker'!$G$3:$G$1002,'Expense Tracker'!$A$3:$A$1002,"&gt;="&amp;$L33,'Expense Tracker'!$A$3:$A$1002,"&lt;="&amp;EOMONTH($L33,0),'Expense Tracker'!$E$3:$E$1002,F$11)</f>
        <v/>
      </c>
      <c r="G33" s="79">
        <f>IF(SUM(B33:F33)=0,"",SUM(B33:F33))</f>
        <v/>
      </c>
      <c r="H33" s="80">
        <f>IF(OR(N(G32)=0,N(G33)=0),"",(G33-G32)/G32)</f>
        <v/>
      </c>
      <c r="L33">
        <f>EOMONTH(L32,0)+1</f>
        <v/>
      </c>
    </row>
    <row r="34" ht="18" customHeight="1">
      <c r="A34" s="73">
        <f>TEXT(L34,"mmm yyyy")</f>
        <v/>
      </c>
      <c r="B34" s="74">
        <f>SUMIFS('Expense Tracker'!$G$3:$G$1002,'Expense Tracker'!$A$3:$A$1002,"&gt;="&amp;$L34,'Expense Tracker'!$A$3:$A$1002,"&lt;="&amp;EOMONTH($L34,0),'Expense Tracker'!$E$3:$E$1002,B$11)</f>
        <v/>
      </c>
      <c r="C34" s="74">
        <f>SUMIFS('Expense Tracker'!$G$3:$G$1002,'Expense Tracker'!$A$3:$A$1002,"&gt;="&amp;$L34,'Expense Tracker'!$A$3:$A$1002,"&lt;="&amp;EOMONTH($L34,0),'Expense Tracker'!$E$3:$E$1002,C$11)</f>
        <v/>
      </c>
      <c r="D34" s="74">
        <f>SUMIFS('Expense Tracker'!$G$3:$G$1002,'Expense Tracker'!$A$3:$A$1002,"&gt;="&amp;$L34,'Expense Tracker'!$A$3:$A$1002,"&lt;="&amp;EOMONTH($L34,0),'Expense Tracker'!$E$3:$E$1002,D$11)</f>
        <v/>
      </c>
      <c r="E34" s="74">
        <f>SUMIFS('Expense Tracker'!$G$3:$G$1002,'Expense Tracker'!$A$3:$A$1002,"&gt;="&amp;$L34,'Expense Tracker'!$A$3:$A$1002,"&lt;="&amp;EOMONTH($L34,0),'Expense Tracker'!$E$3:$E$1002,E$11)</f>
        <v/>
      </c>
      <c r="F34" s="74">
        <f>SUMIFS('Expense Tracker'!$G$3:$G$1002,'Expense Tracker'!$A$3:$A$1002,"&gt;="&amp;$L34,'Expense Tracker'!$A$3:$A$1002,"&lt;="&amp;EOMONTH($L34,0),'Expense Tracker'!$E$3:$E$1002,F$11)</f>
        <v/>
      </c>
      <c r="G34" s="75">
        <f>IF(SUM(B34:F34)=0,"",SUM(B34:F34))</f>
        <v/>
      </c>
      <c r="H34" s="76">
        <f>IF(OR(N(G33)=0,N(G34)=0),"",(G34-G33)/G33)</f>
        <v/>
      </c>
      <c r="L34">
        <f>EOMONTH(L33,0)+1</f>
        <v/>
      </c>
    </row>
    <row r="35" ht="18" customHeight="1">
      <c r="A35" s="77">
        <f>TEXT(L35,"mmm yyyy")</f>
        <v/>
      </c>
      <c r="B35" s="78">
        <f>SUMIFS('Expense Tracker'!$G$3:$G$1002,'Expense Tracker'!$A$3:$A$1002,"&gt;="&amp;$L35,'Expense Tracker'!$A$3:$A$1002,"&lt;="&amp;EOMONTH($L35,0),'Expense Tracker'!$E$3:$E$1002,B$11)</f>
        <v/>
      </c>
      <c r="C35" s="78">
        <f>SUMIFS('Expense Tracker'!$G$3:$G$1002,'Expense Tracker'!$A$3:$A$1002,"&gt;="&amp;$L35,'Expense Tracker'!$A$3:$A$1002,"&lt;="&amp;EOMONTH($L35,0),'Expense Tracker'!$E$3:$E$1002,C$11)</f>
        <v/>
      </c>
      <c r="D35" s="78">
        <f>SUMIFS('Expense Tracker'!$G$3:$G$1002,'Expense Tracker'!$A$3:$A$1002,"&gt;="&amp;$L35,'Expense Tracker'!$A$3:$A$1002,"&lt;="&amp;EOMONTH($L35,0),'Expense Tracker'!$E$3:$E$1002,D$11)</f>
        <v/>
      </c>
      <c r="E35" s="78">
        <f>SUMIFS('Expense Tracker'!$G$3:$G$1002,'Expense Tracker'!$A$3:$A$1002,"&gt;="&amp;$L35,'Expense Tracker'!$A$3:$A$1002,"&lt;="&amp;EOMONTH($L35,0),'Expense Tracker'!$E$3:$E$1002,E$11)</f>
        <v/>
      </c>
      <c r="F35" s="78">
        <f>SUMIFS('Expense Tracker'!$G$3:$G$1002,'Expense Tracker'!$A$3:$A$1002,"&gt;="&amp;$L35,'Expense Tracker'!$A$3:$A$1002,"&lt;="&amp;EOMONTH($L35,0),'Expense Tracker'!$E$3:$E$1002,F$11)</f>
        <v/>
      </c>
      <c r="G35" s="79">
        <f>IF(SUM(B35:F35)=0,"",SUM(B35:F35))</f>
        <v/>
      </c>
      <c r="H35" s="80">
        <f>IF(OR(N(G34)=0,N(G35)=0),"",(G35-G34)/G34)</f>
        <v/>
      </c>
      <c r="L35">
        <f>EOMONTH(L34,0)+1</f>
        <v/>
      </c>
    </row>
    <row r="36" ht="22" customHeight="1">
      <c r="A36" s="81" t="inlineStr">
        <is>
          <t>Total</t>
        </is>
      </c>
      <c r="B36" s="82">
        <f>SUM(B12:B35)</f>
        <v/>
      </c>
      <c r="C36" s="82">
        <f>SUM(C12:C35)</f>
        <v/>
      </c>
      <c r="D36" s="82">
        <f>SUM(D12:D35)</f>
        <v/>
      </c>
      <c r="E36" s="82">
        <f>SUM(E12:E35)</f>
        <v/>
      </c>
      <c r="F36" s="82">
        <f>SUM(F12:F35)</f>
        <v/>
      </c>
      <c r="G36" s="83">
        <f>SUM(G12:G35)</f>
        <v/>
      </c>
      <c r="H36" s="84" t="inlineStr"/>
    </row>
  </sheetData>
  <mergeCells count="15">
    <mergeCell ref="C4:D5"/>
    <mergeCell ref="A4:B5"/>
    <mergeCell ref="E6:F6"/>
    <mergeCell ref="C6:D6"/>
    <mergeCell ref="E4:F5"/>
    <mergeCell ref="G3:H3"/>
    <mergeCell ref="G4:H5"/>
    <mergeCell ref="I4:J5"/>
    <mergeCell ref="I6:J6"/>
    <mergeCell ref="G6:H6"/>
    <mergeCell ref="C3:D3"/>
    <mergeCell ref="A3:B3"/>
    <mergeCell ref="A6:B6"/>
    <mergeCell ref="E3:F3"/>
    <mergeCell ref="I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46" customWidth="1" min="3" max="3"/>
  </cols>
  <sheetData>
    <row r="1" ht="26" customHeight="1">
      <c r="A1" s="65" t="inlineStr">
        <is>
          <t>CATEGORIES</t>
        </is>
      </c>
      <c r="B1" s="85" t="inlineStr">
        <is>
          <t>COLOR</t>
        </is>
      </c>
    </row>
    <row r="2" ht="22" customHeight="1">
      <c r="A2" s="86" t="inlineStr">
        <is>
          <t>Inventory (COGS)</t>
        </is>
      </c>
      <c r="B2" s="87" t="n"/>
    </row>
    <row r="3" ht="22" customHeight="1">
      <c r="A3" s="88" t="inlineStr">
        <is>
          <t>Packaging &amp; Shipping</t>
        </is>
      </c>
      <c r="B3" s="89" t="n"/>
    </row>
    <row r="4" ht="22" customHeight="1">
      <c r="A4" s="90" t="inlineStr">
        <is>
          <t>Software &amp; Technology</t>
        </is>
      </c>
      <c r="B4" s="91" t="n"/>
    </row>
    <row r="5" ht="22" customHeight="1">
      <c r="A5" s="92" t="inlineStr">
        <is>
          <t>Marketing &amp; Advertising</t>
        </is>
      </c>
      <c r="B5" s="93" t="n"/>
    </row>
    <row r="6" ht="22" customHeight="1">
      <c r="A6" s="94" t="inlineStr">
        <is>
          <t>Office &amp; Supplies</t>
        </is>
      </c>
      <c r="B6" s="95" t="n"/>
    </row>
    <row r="8">
      <c r="A8" s="96" t="inlineStr">
        <is>
          <t>How to use this tab:  These five categories feed the Category dropdown on the Expense Tracker (named range "ExpenseCategories") and every summary and chart in this workbook.
You may add a new category on the row directly below the list. If you do, remember to expand the named range, the Monthly Summary columns, the dashboard chart, and the conditional-formatting colors so the new category is included everywhere.  Do NOT add payment methods here.</t>
        </is>
      </c>
      <c r="B8" s="21" t="n"/>
      <c r="C8" s="24" t="n"/>
    </row>
    <row r="9">
      <c r="A9" s="97" t="n"/>
      <c r="C9" s="31" t="n"/>
    </row>
    <row r="10">
      <c r="A10" s="97" t="n"/>
      <c r="C10" s="31" t="n"/>
    </row>
    <row r="11">
      <c r="A11" s="97" t="n"/>
      <c r="C11" s="31" t="n"/>
    </row>
    <row r="12">
      <c r="A12" s="97" t="n"/>
      <c r="C12" s="31" t="n"/>
    </row>
    <row r="13">
      <c r="A13" s="97" t="n"/>
      <c r="C13" s="31" t="n"/>
    </row>
    <row r="14">
      <c r="A14" s="98" t="n"/>
      <c r="B14" s="12" t="n"/>
      <c r="C14" s="13" t="n"/>
    </row>
  </sheetData>
  <mergeCells count="1">
    <mergeCell ref="A8:C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2026-08-06T20:51:19Z</dcterms:created>
  <dcterms:modified xsi:type="dcterms:W3CDTF">2026-08-06T20:51:20Z</dcterms:modified>
</cp:coreProperties>
</file>